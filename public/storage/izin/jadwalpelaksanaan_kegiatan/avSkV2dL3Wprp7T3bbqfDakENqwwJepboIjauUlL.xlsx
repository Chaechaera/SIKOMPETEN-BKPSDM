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<sst xmlns="http://schemas.openxmlformats.org/spreadsheetml/2006/main" count="42" uniqueCount="31">
  <si>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No</t>
  </si>
  <si>
    <t>Keterangan</t>
  </si>
  <si>
    <t>Volume</t>
  </si>
  <si>
    <t>Satuan</t>
  </si>
  <si>
    <t>Frekuensi</t>
  </si>
  <si>
    <t>Jumlah</t>
  </si>
  <si>
    <t>Harga Satuan (Rupiah)</t>
  </si>
  <si>
    <t>Jumlah (Rupiah)</t>
  </si>
  <si>
    <t>Pajak (Rupiah)</t>
  </si>
  <si>
    <t>Total</t>
  </si>
  <si>
    <t>Belanja Bahan Habis Pakai</t>
  </si>
  <si>
    <t>1.</t>
  </si>
  <si>
    <t>ATK</t>
  </si>
  <si>
    <t>Paket</t>
  </si>
  <si>
    <t>2.</t>
  </si>
  <si>
    <t>Kertas A4</t>
  </si>
  <si>
    <t>Rim</t>
  </si>
  <si>
    <t>3.</t>
  </si>
  <si>
    <t>Tinta Printer</t>
  </si>
  <si>
    <t>Botol</t>
  </si>
  <si>
    <t>Belanja Bahan Non Operasional Lainnya</t>
  </si>
  <si>
    <t>Template Project</t>
  </si>
  <si>
    <t>Unit</t>
  </si>
  <si>
    <t>Asset 3D Model</t>
  </si>
  <si>
    <t>Sewa Hosting (Cloud VPS)</t>
  </si>
  <si>
    <t>Bulan</t>
  </si>
  <si>
    <t>Belanja Perjalanan</t>
  </si>
  <si>
    <t>Transportasi</t>
  </si>
  <si>
    <t>Orang</t>
  </si>
  <si>
    <t>Belanja Operasional Lainnya</t>
  </si>
  <si>
    <t>Lisensi Figma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</si>
</sst>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Alignment="1"/>
    <xf numFmtId="3" fontId="1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H24" sqref="H24"/>
    </sheetView>
  </sheetViews>
  <sheetFormatPr defaultColWidth="20.4444444444444" defaultRowHeight="15.6"/>
  <cols>
    <col min="1" max="1" width="4.44444444444444" style="1" customWidth="1"/>
    <col min="2" max="2" width="25.2314814814815" style="1" customWidth="1"/>
    <col min="3" max="3" width="12.1574074074074" style="1" customWidth="1"/>
    <col min="4" max="4" width="12.5462962962963" style="1" customWidth="1"/>
    <col min="5" max="5" width="10.7222222222222" style="1" customWidth="1"/>
    <col min="6" max="6" width="8.75925925925926" style="1" customWidth="1"/>
    <col min="7" max="7" width="25.0925925925926" style="1" customWidth="1"/>
    <col min="8" max="16384" width="20.4444444444444" style="1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">
      <c r="A2" s="1" t="s">
        <v>10</v>
      </c>
    </row>
    <row r="3" s="1" customFormat="1" spans="1:10">
      <c r="A3" s="1" t="s">
        <v>11</v>
      </c>
      <c r="B3" s="1" t="s">
        <v>12</v>
      </c>
      <c r="C3" s="1">
        <v>1</v>
      </c>
      <c r="D3" s="1" t="s">
        <v>13</v>
      </c>
      <c r="E3" s="1">
        <v>1</v>
      </c>
      <c r="F3" s="1">
        <f t="shared" ref="F3:F10" si="0">C3*E3</f>
        <v>1</v>
      </c>
      <c r="G3" s="2">
        <v>50000</v>
      </c>
      <c r="H3" s="2">
        <f t="shared" ref="H3:H10" si="1">F3*G3</f>
        <v>50000</v>
      </c>
      <c r="I3" s="2"/>
      <c r="J3" s="2">
        <f t="shared" ref="J3:J10" si="2">SUM(H3,I3)</f>
        <v>50000</v>
      </c>
    </row>
    <row r="4" s="1" customFormat="1" spans="1:10">
      <c r="A4" s="1" t="s">
        <v>14</v>
      </c>
      <c r="B4" s="1" t="s">
        <v>15</v>
      </c>
      <c r="C4" s="1">
        <v>1</v>
      </c>
      <c r="D4" s="1" t="s">
        <v>16</v>
      </c>
      <c r="E4" s="1">
        <v>2</v>
      </c>
      <c r="F4" s="1">
        <f t="shared" si="0"/>
        <v>2</v>
      </c>
      <c r="G4" s="2">
        <v>85000</v>
      </c>
      <c r="H4" s="2">
        <f t="shared" si="1"/>
        <v>170000</v>
      </c>
      <c r="I4" s="2"/>
      <c r="J4" s="2">
        <f t="shared" si="2"/>
        <v>170000</v>
      </c>
    </row>
    <row r="5" s="1" customFormat="1" spans="1:10">
      <c r="A5" s="1" t="s">
        <v>17</v>
      </c>
      <c r="B5" s="1" t="s">
        <v>18</v>
      </c>
      <c r="C5" s="1">
        <v>1</v>
      </c>
      <c r="D5" s="1" t="s">
        <v>19</v>
      </c>
      <c r="E5" s="1">
        <v>1</v>
      </c>
      <c r="F5" s="1">
        <f t="shared" si="0"/>
        <v>1</v>
      </c>
      <c r="G5" s="2">
        <v>70000</v>
      </c>
      <c r="H5" s="2">
        <f t="shared" si="1"/>
        <v>70000</v>
      </c>
      <c r="J5" s="2">
        <f t="shared" si="2"/>
        <v>70000</v>
      </c>
    </row>
    <row r="6" s="1" customFormat="1" spans="8:10">
      <c r="H6" s="2"/>
      <c r="J6" s="2"/>
    </row>
    <row r="7" s="1" customFormat="1" spans="1:10">
      <c r="A7" s="1" t="s">
        <v>20</v>
      </c>
      <c r="H7" s="2"/>
      <c r="J7" s="2"/>
    </row>
    <row r="8" s="1" customFormat="1" spans="1:10">
      <c r="A8" s="1" t="s">
        <v>11</v>
      </c>
      <c r="B8" s="1" t="s">
        <v>21</v>
      </c>
      <c r="C8" s="1">
        <v>1</v>
      </c>
      <c r="D8" s="1" t="s">
        <v>22</v>
      </c>
      <c r="E8" s="1">
        <v>1</v>
      </c>
      <c r="F8" s="1">
        <f t="shared" si="0"/>
        <v>1</v>
      </c>
      <c r="G8" s="2">
        <v>1200000</v>
      </c>
      <c r="H8" s="2">
        <f t="shared" si="1"/>
        <v>1200000</v>
      </c>
      <c r="I8" s="2">
        <v>24000</v>
      </c>
      <c r="J8" s="2">
        <f t="shared" si="2"/>
        <v>1224000</v>
      </c>
    </row>
    <row r="9" s="1" customFormat="1" spans="1:10">
      <c r="A9" s="1" t="s">
        <v>14</v>
      </c>
      <c r="B9" s="1" t="s">
        <v>23</v>
      </c>
      <c r="C9" s="1">
        <v>1</v>
      </c>
      <c r="D9" s="1" t="s">
        <v>13</v>
      </c>
      <c r="E9" s="1">
        <v>1</v>
      </c>
      <c r="F9" s="1">
        <f t="shared" si="0"/>
        <v>1</v>
      </c>
      <c r="G9" s="2">
        <v>1000000</v>
      </c>
      <c r="H9" s="2">
        <f t="shared" si="1"/>
        <v>1000000</v>
      </c>
      <c r="I9" s="2">
        <v>40000</v>
      </c>
      <c r="J9" s="2">
        <f t="shared" si="2"/>
        <v>1040000</v>
      </c>
    </row>
    <row r="10" s="1" customFormat="1" spans="1:10">
      <c r="A10" s="1" t="s">
        <v>17</v>
      </c>
      <c r="B10" s="1" t="s">
        <v>24</v>
      </c>
      <c r="C10" s="1">
        <v>1</v>
      </c>
      <c r="D10" s="1" t="s">
        <v>25</v>
      </c>
      <c r="E10" s="1">
        <v>12</v>
      </c>
      <c r="F10" s="1">
        <f t="shared" si="0"/>
        <v>12</v>
      </c>
      <c r="G10" s="2">
        <v>115000</v>
      </c>
      <c r="H10" s="2">
        <f t="shared" si="1"/>
        <v>1380000</v>
      </c>
      <c r="I10" s="2">
        <v>27600</v>
      </c>
      <c r="J10" s="2">
        <f t="shared" si="2"/>
        <v>1407600</v>
      </c>
    </row>
    <row r="11" s="1" customFormat="1" spans="8:10">
      <c r="H11" s="2"/>
      <c r="J11" s="2"/>
    </row>
    <row r="12" s="1" customFormat="1" spans="1:10">
      <c r="A12" s="1" t="s">
        <v>26</v>
      </c>
      <c r="H12" s="2"/>
      <c r="J12" s="2"/>
    </row>
    <row r="13" s="1" customFormat="1" spans="1:10">
      <c r="A13" s="1" t="s">
        <v>11</v>
      </c>
      <c r="B13" s="1" t="s">
        <v>27</v>
      </c>
      <c r="C13" s="1">
        <v>9</v>
      </c>
      <c r="D13" s="1" t="s">
        <v>28</v>
      </c>
      <c r="E13" s="1">
        <v>6</v>
      </c>
      <c r="F13" s="1">
        <f t="shared" ref="F13:F15" si="3">C13*E13</f>
        <v>54</v>
      </c>
      <c r="G13" s="2">
        <v>50000</v>
      </c>
      <c r="H13" s="2">
        <f t="shared" ref="H13:H15" si="4">F13*G13</f>
        <v>2700000</v>
      </c>
      <c r="I13" s="2">
        <v>0</v>
      </c>
      <c r="J13" s="2">
        <f t="shared" ref="J13:J15" si="5">SUM(H13,I13)</f>
        <v>2700000</v>
      </c>
    </row>
    <row r="14" s="1" customFormat="1" spans="1:10">
      <c r="A14" s="1" t="s">
        <v>14</v>
      </c>
      <c r="F14" s="1">
        <f t="shared" si="3"/>
        <v>0</v>
      </c>
      <c r="H14" s="2">
        <f t="shared" si="4"/>
        <v>0</v>
      </c>
      <c r="J14" s="2">
        <f t="shared" si="5"/>
        <v>0</v>
      </c>
    </row>
    <row r="15" s="1" customFormat="1" spans="1:10">
      <c r="A15" s="1" t="s">
        <v>17</v>
      </c>
      <c r="F15" s="1">
        <f t="shared" si="3"/>
        <v>0</v>
      </c>
      <c r="H15" s="2">
        <f t="shared" si="4"/>
        <v>0</v>
      </c>
      <c r="J15" s="2">
        <f t="shared" si="5"/>
        <v>0</v>
      </c>
    </row>
    <row r="16" s="1" customFormat="1" spans="8:10">
      <c r="H16" s="2"/>
      <c r="J16" s="2"/>
    </row>
    <row r="17" s="1" customFormat="1" spans="1:10">
      <c r="A17" s="1" t="s">
        <v>29</v>
      </c>
      <c r="H17" s="2"/>
      <c r="J17" s="2"/>
    </row>
    <row r="18" s="1" customFormat="1" spans="1:10">
      <c r="A18" s="1" t="s">
        <v>11</v>
      </c>
      <c r="B18" s="1" t="s">
        <v>30</v>
      </c>
      <c r="C18" s="1">
        <v>1</v>
      </c>
      <c r="D18" s="1" t="s">
        <v>13</v>
      </c>
      <c r="E18" s="1">
        <v>9</v>
      </c>
      <c r="F18" s="1">
        <f t="shared" ref="F18:F20" si="6">C18*E18</f>
        <v>9</v>
      </c>
      <c r="G18" s="2">
        <v>328500</v>
      </c>
      <c r="H18" s="2">
        <f t="shared" ref="H18:H20" si="7">F18*G18</f>
        <v>2956500</v>
      </c>
      <c r="I18" s="2"/>
      <c r="J18" s="2">
        <f t="shared" ref="J18:J20" si="8">SUM(H18,I18)</f>
        <v>2956500</v>
      </c>
    </row>
    <row r="19" s="1" customFormat="1" spans="1:10">
      <c r="A19" s="1" t="s">
        <v>14</v>
      </c>
      <c r="F19" s="1">
        <f t="shared" si="6"/>
        <v>0</v>
      </c>
      <c r="H19" s="2">
        <f t="shared" si="7"/>
        <v>0</v>
      </c>
      <c r="J19" s="2">
        <f t="shared" si="8"/>
        <v>0</v>
      </c>
    </row>
    <row r="20" s="1" customFormat="1" spans="1:10">
      <c r="A20" s="1" t="s">
        <v>17</v>
      </c>
      <c r="F20" s="1">
        <f t="shared" si="6"/>
        <v>0</v>
      </c>
      <c r="H20" s="2">
        <f t="shared" si="7"/>
        <v>0</v>
      </c>
      <c r="J20" s="2">
        <f t="shared" si="8"/>
        <v>0</v>
      </c>
    </row>
    <row r="22" s="1" customFormat="1" spans="10:10">
      <c r="J22" s="2">
        <f>SUM(J3:J20)</f>
        <v>9618100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 Z Series</dc:creator>
  <cp:lastModifiedBy>Nurellyza Ade</cp:lastModifiedBy>
  <dcterms:created xsi:type="dcterms:W3CDTF">2025-08-07T14:33:13Z</dcterms:created>
  <dcterms:modified xsi:type="dcterms:W3CDTF">2025-08-07T14:33:45Z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3B78750C68CE47FDADA1B4DA3F9708E1_11</vt:lpwstr>
  </property>
  <property fmtid="{D5CDD505-2E9C-101B-9397-08002B2CF9AE}" pid="3" name="KSOProductBuildVer">
    <vt:lpwstr>1033-12.2.0.21931</vt:lpwstr>
  </property>
</Properties>
</file>