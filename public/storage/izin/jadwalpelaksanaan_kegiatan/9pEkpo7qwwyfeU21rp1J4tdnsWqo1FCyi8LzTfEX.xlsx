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2"/>
  <workbookPr filterPrivacy="1" codeName="ThisWorkbook"/>
  <xr:revisionPtr revIDLastSave="0" documentId="13_ncr:41000001_{90B56ECB-663F-BA4D-8DD2-23CC37F5DABE}" xr6:coauthVersionLast="47" xr6:coauthVersionMax="47" xr10:uidLastSave="{00000000-0000-0000-0000-000000000000}"/>
  <bookViews>
    <workbookView xWindow="930" yWindow="0" windowWidth="20490" windowHeight="6930" activeTab="1" xr2:uid="{00000000-000D-0000-FFFF-FFFF00000000}"/>
  </bookViews>
  <sheets>
    <sheet name="PER SEPTEMBER" sheetId="2" r:id="rId1"/>
    <sheet name="PER OKTOBER" sheetId="3" r:id="rId2"/>
    <sheet name="PER NOVEMBER" sheetId="7" r:id="rId3"/>
    <sheet name="PER DESEMBER" sheetId="4" r:id="rId4"/>
    <sheet name="PER JANUARI" sheetId="6" r:id="rId5"/>
  </sheets>
  <definedNames>
    <definedName name="Judul1" localSheetId="4">Per_Triwulan[[#Headers],[Tanggal]]</definedName>
    <definedName name="Judul1" localSheetId="2">Per_Triwulan[[#Headers],[Tanggal]]</definedName>
    <definedName name="Judul1">Per_Triwulan[[#Headers],[Tanggal]]</definedName>
    <definedName name="Judul2" localSheetId="4">Musim_gugur[[#Headers],[Tanggal]]</definedName>
    <definedName name="Judul2" localSheetId="2">Musim_gugur[[#Headers],[Tanggal]]</definedName>
    <definedName name="Judul2">Musim_gugur[[#Headers],[Tanggal]]</definedName>
    <definedName name="Judul3" localSheetId="4">Musim_semi[[#Headers],[Kategori]]</definedName>
    <definedName name="Judul3" localSheetId="2">Musim_semi[[#Headers],[Kategori]]</definedName>
    <definedName name="Judul3">Musim_semi[[#Headers],[Kategori]]</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7" l="1"/>
  <c r="G25" i="7"/>
  <c r="G24" i="7"/>
  <c r="G23" i="7"/>
  <c r="G22" i="7"/>
  <c r="G21" i="7"/>
  <c r="G20" i="7"/>
  <c r="G19" i="7"/>
  <c r="G18" i="7"/>
  <c r="G17" i="7"/>
  <c r="G16" i="7"/>
  <c r="G15" i="7"/>
  <c r="G14" i="7"/>
  <c r="G13" i="7"/>
  <c r="G12" i="7"/>
  <c r="G11" i="7"/>
  <c r="G10" i="7"/>
  <c r="G9" i="7"/>
  <c r="G8" i="7"/>
  <c r="G7" i="7"/>
  <c r="G6" i="7"/>
  <c r="G5" i="7"/>
  <c r="G4" i="7"/>
  <c r="G4" i="3"/>
  <c r="G21" i="3"/>
  <c r="G22" i="3"/>
  <c r="G23" i="3"/>
  <c r="G24" i="3"/>
  <c r="G25" i="3"/>
  <c r="G26" i="3"/>
  <c r="G20" i="3"/>
  <c r="G9" i="3"/>
  <c r="G10" i="3"/>
  <c r="G11" i="3"/>
  <c r="G12" i="3"/>
  <c r="G13" i="3"/>
  <c r="G14" i="3"/>
  <c r="G15" i="3"/>
  <c r="G16" i="3"/>
  <c r="G17" i="3"/>
  <c r="G18" i="3"/>
  <c r="G19" i="3"/>
  <c r="G5" i="3"/>
  <c r="G6" i="3"/>
  <c r="G7" i="3"/>
  <c r="G8" i="3"/>
  <c r="G4" i="2"/>
  <c r="G5" i="2"/>
  <c r="G6" i="2"/>
  <c r="G7" i="2"/>
  <c r="G8" i="2"/>
  <c r="G9" i="2"/>
  <c r="G10" i="2"/>
  <c r="G11" i="2"/>
  <c r="G12" i="2"/>
  <c r="G13" i="2"/>
  <c r="G14" i="2"/>
  <c r="G15" i="2"/>
  <c r="G16" i="2"/>
  <c r="G17" i="2"/>
  <c r="G18" i="2"/>
  <c r="G19" i="2"/>
  <c r="G20" i="2"/>
  <c r="G21" i="2"/>
  <c r="G22" i="2"/>
  <c r="G23" i="2"/>
  <c r="G24" i="2"/>
  <c r="G25" i="2"/>
</calcChain>
</file>

<file path=xl/sharedStrings.xml><?xml version="1.0" encoding="utf-8"?>
<sst xmlns="http://schemas.openxmlformats.org/spreadsheetml/2006/main" count="227" uniqueCount="130">
  <si>
    <t>Kategori</t>
  </si>
  <si>
    <t>Interior</t>
  </si>
  <si>
    <t>Listrik dan Peralatan</t>
  </si>
  <si>
    <t>Eksterior</t>
  </si>
  <si>
    <t>Aktivitas</t>
  </si>
  <si>
    <t>Deskripsi</t>
  </si>
  <si>
    <t>Tanggal terakhir dilakukan</t>
  </si>
  <si>
    <t>Tanggal 1</t>
  </si>
  <si>
    <t>Tanggal 2</t>
  </si>
  <si>
    <t>Tanggal 3</t>
  </si>
  <si>
    <t>Periksa apakah berfungsi dengan baik.</t>
  </si>
  <si>
    <t>Periksa apakah ada lubang pada wastafel dan backsplash. Dempul ulang di bagian yang memerlukannya.</t>
  </si>
  <si>
    <t>Servis sistem penghangat ruangan dan pompa penghangat.</t>
  </si>
  <si>
    <t>Periksa kebocoran. Periksa apakah ada sirap yang rusak, longgar, atau hilang. Periksa apakah ada burung, sarang, tupai, dan serangga di ventilasi dan ornamen jendela. Periksa pelindung di sekitar tumpukan atap, ventilasi, dan jendela atap jika mengalami kebocoran.</t>
  </si>
  <si>
    <t>MUSIM SEMI</t>
  </si>
  <si>
    <t>Loteng</t>
  </si>
  <si>
    <t>Pemanas air</t>
  </si>
  <si>
    <t>Sistem pemanas dan pendingin</t>
  </si>
  <si>
    <t>Pintu kamar mandi/tutup bak</t>
  </si>
  <si>
    <t>Dek</t>
  </si>
  <si>
    <t>Periksa apakah ada kebocoran. Periksa isolasi dan lepas atau tambahkan jika perlu. Periksa apakah ada burung, tupai, musang, dll. Periksa kondisi ventilasi.</t>
  </si>
  <si>
    <t>Alirkan air panas untuk menghilangkan endapan yang terkumpul.</t>
  </si>
  <si>
    <t>Pemeriksaan perapian umum: Periksa adanya karat, kerak pada penukar panas, dan lihat warna api yang baik; perhatikan apakah ada suara atau bau yang aneh; dan periksa kondisi ventilasi. Bersihkan kotoran di sekitar unit.</t>
  </si>
  <si>
    <t>Periksa apakah terpasang dengan baik. Sesuaikan jika perlu. Periksa dempul dan dempul ulang jika perlu.</t>
  </si>
  <si>
    <t>Gosok area berlumut dan bersihkan noda air, lumut, dan jamur.</t>
  </si>
  <si>
    <t>Pipa</t>
  </si>
  <si>
    <t>PER SEPTEMBER</t>
  </si>
  <si>
    <t>Tanggal</t>
  </si>
  <si>
    <t>Senin, 01/September/2025</t>
  </si>
  <si>
    <t>Selasa, 02/September/2025</t>
  </si>
  <si>
    <t>Rabu, 03/September/2025</t>
  </si>
  <si>
    <t>Kamis, 04/September/2025</t>
  </si>
  <si>
    <t>Jumat, 05/September/2025</t>
  </si>
  <si>
    <t>Senin, 08/September/2025</t>
  </si>
  <si>
    <t>Selasa, 09/September/2025</t>
  </si>
  <si>
    <t>Rabu, 10/September/2025</t>
  </si>
  <si>
    <t>Kamis, 11/September/2025</t>
  </si>
  <si>
    <t>Jumat, 12/September/2025</t>
  </si>
  <si>
    <t>Senin, 15/September/2025</t>
  </si>
  <si>
    <t>Selasa, 16/September/2025</t>
  </si>
  <si>
    <t>Rabu, 17/September/2025</t>
  </si>
  <si>
    <t>Kamis, 18/September/2025</t>
  </si>
  <si>
    <t>Jumat, 19/September/2025</t>
  </si>
  <si>
    <t>Senin, 22/September/2025</t>
  </si>
  <si>
    <t>Selasa, 23/September/2025</t>
  </si>
  <si>
    <t>Rabu, 24/September/2025</t>
  </si>
  <si>
    <t>Kamis, 25/September/2025</t>
  </si>
  <si>
    <t>Jumat, 26/September/2025</t>
  </si>
  <si>
    <t>Senin, 29/September/2025</t>
  </si>
  <si>
    <t>Selasa, 30/September/2025</t>
  </si>
  <si>
    <t>Lokasi</t>
  </si>
  <si>
    <t>Deskripsi Aktivitas</t>
  </si>
  <si>
    <t>Daring</t>
  </si>
  <si>
    <t>Kantor Pusdiktop Kraton</t>
  </si>
  <si>
    <t>LOGBOOK HARIAN MAGANG</t>
  </si>
  <si>
    <t>Pengarahan dan komunikasi awal bersama perwakilan BKPSDM terkait kegiatan magang serta proyek sistem izin pengembangan kompetensi ASN</t>
  </si>
  <si>
    <t>Instalasi dan persiapan proyek meliputi Laravel, Filamet, Vue, dan Tailwind</t>
  </si>
  <si>
    <t>Jam Selesai</t>
  </si>
  <si>
    <t>Jam Mulai</t>
  </si>
  <si>
    <t>Waktu Kerja</t>
  </si>
  <si>
    <t>Deskripsi aktivitas</t>
  </si>
  <si>
    <t xml:space="preserve">Rabu, 01/Oktober/2025 </t>
  </si>
  <si>
    <t>Kamis, 02/Oktober/2025</t>
  </si>
  <si>
    <t>Jumat, 03/Oktober/2025</t>
  </si>
  <si>
    <t>Senin, 06/Oktober/2025</t>
  </si>
  <si>
    <t>Selasa, 07/Oktober/2025</t>
  </si>
  <si>
    <t>Rabu, 08/Oktober/2025</t>
  </si>
  <si>
    <t>Kamis, 09/Oktober/2025</t>
  </si>
  <si>
    <t>Jumat, 10/Oktober/2025</t>
  </si>
  <si>
    <t>Senin, 13/Oktober/2025</t>
  </si>
  <si>
    <t>Selasa, 14/Oktober/2025</t>
  </si>
  <si>
    <t>Rabu, 15/Oktober/2025</t>
  </si>
  <si>
    <t>Kamis, 16/Oktober/2025</t>
  </si>
  <si>
    <t>Jumat, 17/Oktober/2025</t>
  </si>
  <si>
    <t>Kamis, 23/Oktober/2025</t>
  </si>
  <si>
    <t>Kamis, 30/Oktober/2025</t>
  </si>
  <si>
    <t>Senin, 20/Oktober/2025</t>
  </si>
  <si>
    <t>Selasa, 21/Oktober/2025</t>
  </si>
  <si>
    <t>Rabu, 22/Oktober/2025</t>
  </si>
  <si>
    <t>Jumat, 24/Oktober/2025</t>
  </si>
  <si>
    <t>Senin, 27/Oktober/2025</t>
  </si>
  <si>
    <t>Selasa, 28/Oktober/2025</t>
  </si>
  <si>
    <t>Rabu, 29/Oktober/2025</t>
  </si>
  <si>
    <t>Jumat, 31/Oktober/2025</t>
  </si>
  <si>
    <t>PER OKTOBER</t>
  </si>
  <si>
    <t>PER NOVEMBER</t>
  </si>
  <si>
    <t>PER DESEMBER</t>
  </si>
  <si>
    <t>Diklat BKPSDM</t>
  </si>
  <si>
    <t>PPIK BKPSDM</t>
  </si>
  <si>
    <t>Kampus Mesen UNS</t>
  </si>
  <si>
    <t>Input data usulan CPNS pada website SI-ASN INSTANSI</t>
  </si>
  <si>
    <t>Input surat SPRP untuk data usulan CPNS pada website SI-ASN INSTANSI</t>
  </si>
  <si>
    <t>Pembuatan kamus data sebagai acuan untuk database mysql</t>
  </si>
  <si>
    <t>Pembetulan data usulan CPNS pada website SI-ASN INSTANSI</t>
  </si>
  <si>
    <t>Mengikuti sosialisasi terkait pengaturan profil pada sistem PPIK di Ruang Rapat BKPSDM</t>
  </si>
  <si>
    <t xml:space="preserve"> </t>
  </si>
  <si>
    <t>Merancang bahan untuk disampaikan pada diskusi sistem SIKOMPETEN sebagai Projek TA</t>
  </si>
  <si>
    <t>Melengkapi logbook MBKM selama periode September s/d Oktober</t>
  </si>
  <si>
    <t>Memenuhi tanggung jawab Asdos sebagai pengawas UTS Matematika Informatika 2025</t>
  </si>
  <si>
    <t>Pembuatan Form Login untuk sistem</t>
  </si>
  <si>
    <t>Pembuatan Form Register untuk sistem</t>
  </si>
  <si>
    <t>Pembuatan Middleware role-base access dan permission role untuk sistem</t>
  </si>
  <si>
    <t>Pembuatan Dashboard sistem untuk admin</t>
  </si>
  <si>
    <t>Pembuatan Dashboard sistem untuk superadmin</t>
  </si>
  <si>
    <t>Pembuatan pengajuan usulan kegiatan pengembangan kompetensi ASN untuk admin (generate surat)</t>
  </si>
  <si>
    <t>Pembuatan pengajuan usulan kegiatan pengembangan kompetensi ASN untuk admin (tampilan tabel list usulan kegiatan)</t>
  </si>
  <si>
    <t>Pembuatan verifikasi usulan kegiatan pengembangan kompetensi ASN untuk superadmin (tampilan tabel list usulan kegiatan yang masuk untuk diverifikasi)</t>
  </si>
  <si>
    <t>Pembuatan step bar progress tracking usulan kegiatan untuk admin (progress step bar)</t>
  </si>
  <si>
    <t>Pembuatan pop up notifikasi perubahan status usulan kegiatan pengembangan kompetensi ASN ang telah disetujui menjadi on going untuk admin</t>
  </si>
  <si>
    <t>Identifikasi role dan tugasnya di dalam sistem</t>
  </si>
  <si>
    <t>Pembuatan entitas yang terlibat untuk perancangan struktur ERD</t>
  </si>
  <si>
    <t>Pembuatan atribut dari entitas yang terlibat untuk perancangan struktur ERD</t>
  </si>
  <si>
    <t>Pembuatan relasi dari entitas yang terlibat untuk perancangan struktur ERD</t>
  </si>
  <si>
    <t xml:space="preserve">Perancangan struktur ERD keseluruhan secara kasar </t>
  </si>
  <si>
    <t>Pembuatan struktur ERD keseluruhan pada draw.io</t>
  </si>
  <si>
    <t>Pembuatan pengajuan usulan kegiatan pengembangan kompetensi ASN untuk admin (form pengajuan usulan kegiatan bagian identitas surat)</t>
  </si>
  <si>
    <t>Pembuatan pengajuan usulan kegiatan pengembangan kompetensi ASN untuk admin (form pengajuan usulan kegiatan bagian usulan kegiatan)</t>
  </si>
  <si>
    <t>Pembuatan pengajuan usulan kegiatan pengembangan kompetensi ASN untuk admin (form pengajuan usulan kegiatan bagian detail usulan kegiatan)</t>
  </si>
  <si>
    <t>Pembuatan schema diagram sebagai penggambaran konsep keterhubungan database mysql</t>
  </si>
  <si>
    <t>Pembuatan verifikasi usulan kegiatan pengembangan kompetensi ASN untuk superadmin (halaman verifikasi usulan kegiatan yang masuk)</t>
  </si>
  <si>
    <t>Pembuatan verifikasi usulan kegiatan pengembangan kompetensi ASN untuk superadmin (popup notifikasi keberhasilan verifikasi usulan kegiatan yang masuk)</t>
  </si>
  <si>
    <t>Pembuatan upload laporan kegiatan pengembangan kompetensi ASN untuk admin (form laporan kegiatan bagian identitas surat)</t>
  </si>
  <si>
    <t>Pembuatan upload laporan kegiatan pengembangan kompetensi ASN untuk admin (form laporan kegiatan bagian laporan kegiatan)</t>
  </si>
  <si>
    <t>Pembuatan upload laporan kegiatan pengembangan kompetensi ASN untuk admin (form laporan kegiatan bagian detail laporan kegiatan)</t>
  </si>
  <si>
    <t>Pembuatan verifikasi laporan kegiatan pengembangan kompetensi ASN untuk superadmin (halaman verifikasi laporan kegiatan yang masuk)</t>
  </si>
  <si>
    <t>Pembuatan verifikasi laporan kegiatan pengembangan kompetensi ASN untuk superadmin (popup notifikasi keberhasilan verifikasi laporan kegiatan yang masuk)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</si>
</sst>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Rp&quot;* #,##0_-;\-&quot;Rp&quot;* #,##0_-;_-&quot;Rp&quot;* &quot;-&quot;_-;_-@_-"/>
    <numFmt numFmtId="44" formatCode="_-&quot;Rp&quot;* #,##0.00_-;\-&quot;Rp&quot;* #,##0.00_-;_-&quot;Rp&quot;* &quot;-&quot;??_-;_-@_-"/>
    <numFmt numFmtId="164" formatCode="_(* #,##0_);_(* \(#,##0\);_(* &quot;-&quot;_);_(@_)"/>
    <numFmt numFmtId="165" formatCode="_(* #,##0.00_);_(* \(#,##0.00\);_(* &quot;-&quot;??_);_(@_)"/>
    <numFmt numFmtId="166" formatCode="[$-F800]dddd\,\ mmmm\ dd\,\ yyyy"/>
    <numFmt numFmtId="167" formatCode="dd/mm/yyyy"/>
  </numFmts>
  <fonts count="26" x14ac:knownFonts="1">
    <font>
      <sz val="11"/>
      <color theme="1"/>
      <name val="Trebuchet MS"/>
      <family val="2"/>
      <scheme val="minor"/>
    </font>
    <font>
      <sz val="24"/>
      <color theme="1" tint="0.34998626667073579"/>
      <name val="Century Gothic"/>
      <family val="2"/>
      <scheme val="major"/>
    </font>
    <font>
      <b/>
      <sz val="12"/>
      <color theme="1" tint="0.34998626667073579"/>
      <name val="Century Gothic"/>
      <family val="2"/>
      <scheme val="major"/>
    </font>
    <font>
      <b/>
      <sz val="18"/>
      <color theme="1" tint="0.24994659260841701"/>
      <name val="Century Gothic"/>
      <family val="2"/>
      <scheme val="major"/>
    </font>
    <font>
      <sz val="11"/>
      <color theme="1"/>
      <name val="Century Gothic"/>
      <family val="2"/>
      <scheme val="major"/>
    </font>
    <font>
      <sz val="11"/>
      <color theme="1"/>
      <name val="Trebuchet MS"/>
      <family val="2"/>
      <scheme val="minor"/>
    </font>
    <font>
      <sz val="18"/>
      <color theme="3"/>
      <name val="Century Gothic"/>
      <family val="2"/>
      <scheme val="maj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sz val="24"/>
      <color theme="1" tint="0.34998626667073579"/>
      <name val="Century Gothic"/>
      <family val="2"/>
      <scheme val="major"/>
    </font>
    <font>
      <sz val="11"/>
      <color theme="1"/>
      <name val="Trebuchet MS"/>
      <family val="2"/>
      <scheme val="minor"/>
    </font>
    <font>
      <b/>
      <sz val="18"/>
      <color theme="1" tint="0.24994659260841701"/>
      <name val="Century Gothic"/>
      <family val="2"/>
      <scheme val="major"/>
    </font>
    <font>
      <sz val="11"/>
      <color theme="1"/>
      <name val="Century Gothic"/>
      <family val="2"/>
      <scheme val="major"/>
    </font>
    <font>
      <sz val="6"/>
      <name val="Yu Gothic"/>
      <family val="2"/>
      <charset val="128"/>
    </font>
    <font>
      <sz val="24"/>
      <color theme="1"/>
      <name val="Trebuchet MS"/>
      <family val="2"/>
      <scheme val="minor"/>
    </font>
  </fonts>
  <fills count="36">
    <fill>
      <patternFill patternType="none"/>
    </fill>
    <fill>
      <patternFill patternType="gray125"/>
    </fill>
    <fill>
      <patternFill patternType="solid">
        <fgColor theme="7"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249977111117893"/>
        <bgColor indexed="64"/>
      </patternFill>
    </fill>
  </fills>
  <borders count="16">
    <border>
      <left/>
      <right/>
      <top/>
      <bottom/>
      <diagonal/>
    </border>
    <border>
      <left/>
      <right/>
      <top/>
      <bottom style="thick">
        <color theme="4" tint="-0.249946592608417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diagonal/>
    </border>
    <border>
      <left/>
      <right/>
      <top style="thin">
        <color theme="9" tint="0.39997558519241921"/>
      </top>
      <bottom/>
      <diagonal/>
    </border>
    <border>
      <left style="thin">
        <color theme="9" tint="0.39997558519241921"/>
      </left>
      <right/>
      <top/>
      <bottom/>
      <diagonal/>
    </border>
    <border>
      <left/>
      <right style="thin">
        <color theme="9" tint="0.39997558519241921"/>
      </right>
      <top style="thin">
        <color theme="9" tint="0.39997558519241921"/>
      </top>
      <bottom/>
      <diagonal/>
    </border>
    <border>
      <left/>
      <right style="thin">
        <color theme="9" tint="0.39997558519241921"/>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s>
  <cellStyleXfs count="47">
    <xf numFmtId="0" fontId="0" fillId="0" borderId="0">
      <alignment wrapText="1"/>
    </xf>
    <xf numFmtId="0" fontId="1" fillId="0" borderId="1" applyNumberFormat="0" applyFill="0" applyAlignment="0" applyProtection="0"/>
    <xf numFmtId="0" fontId="3" fillId="0" borderId="0" applyNumberFormat="0" applyFill="0" applyAlignment="0" applyProtection="0"/>
    <xf numFmtId="0" fontId="2" fillId="0" borderId="0" applyNumberFormat="0" applyFill="0" applyAlignment="0" applyProtection="0"/>
    <xf numFmtId="165" fontId="5" fillId="0" borderId="0" applyFont="0" applyFill="0" applyBorder="0" applyAlignment="0" applyProtection="0"/>
    <xf numFmtId="164" fontId="5" fillId="0" borderId="0" applyFont="0" applyFill="0" applyBorder="0" applyAlignment="0" applyProtection="0"/>
    <xf numFmtId="44" fontId="5" fillId="0" borderId="0" applyFont="0" applyFill="0" applyBorder="0" applyAlignment="0" applyProtection="0"/>
    <xf numFmtId="42" fontId="5" fillId="0" borderId="0" applyFont="0" applyFill="0" applyBorder="0" applyAlignment="0" applyProtection="0"/>
    <xf numFmtId="9" fontId="5"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2" applyNumberFormat="0" applyAlignment="0" applyProtection="0"/>
    <xf numFmtId="0" fontId="12" fillId="7" borderId="3" applyNumberFormat="0" applyAlignment="0" applyProtection="0"/>
    <xf numFmtId="0" fontId="13" fillId="7" borderId="2" applyNumberFormat="0" applyAlignment="0" applyProtection="0"/>
    <xf numFmtId="0" fontId="14" fillId="0" borderId="4" applyNumberFormat="0" applyFill="0" applyAlignment="0" applyProtection="0"/>
    <xf numFmtId="0" fontId="15" fillId="8" borderId="5" applyNumberFormat="0" applyAlignment="0" applyProtection="0"/>
    <xf numFmtId="0" fontId="16" fillId="0" borderId="0" applyNumberFormat="0" applyFill="0" applyBorder="0" applyAlignment="0" applyProtection="0"/>
    <xf numFmtId="0" fontId="5" fillId="9" borderId="6" applyNumberFormat="0" applyFont="0" applyAlignment="0" applyProtection="0"/>
    <xf numFmtId="0" fontId="17" fillId="0" borderId="0" applyNumberFormat="0" applyFill="0" applyBorder="0" applyAlignment="0" applyProtection="0"/>
    <xf numFmtId="0" fontId="18" fillId="0" borderId="7" applyNumberFormat="0" applyFill="0" applyAlignment="0" applyProtection="0"/>
    <xf numFmtId="0" fontId="19"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19"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19"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19"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19"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19"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cellStyleXfs>
  <cellXfs count="47">
    <xf numFmtId="0" fontId="0" fillId="0" borderId="0" xfId="0">
      <alignment wrapText="1"/>
    </xf>
    <xf numFmtId="0" fontId="0" fillId="0" borderId="0" xfId="0" applyAlignment="1">
      <alignment wrapText="1"/>
    </xf>
    <xf numFmtId="14" fontId="0" fillId="0" borderId="0" xfId="0" applyNumberFormat="1">
      <alignment wrapText="1"/>
    </xf>
    <xf numFmtId="14" fontId="0" fillId="0" borderId="0" xfId="0" applyNumberFormat="1" applyFont="1" applyFill="1" applyBorder="1">
      <alignment wrapText="1"/>
    </xf>
    <xf numFmtId="0" fontId="0" fillId="0" borderId="0" xfId="0" applyFont="1" applyFill="1" applyBorder="1" applyAlignment="1">
      <alignment wrapText="1"/>
    </xf>
    <xf numFmtId="0" fontId="4" fillId="2" borderId="0" xfId="0" applyFont="1" applyFill="1">
      <alignment wrapText="1"/>
    </xf>
    <xf numFmtId="14" fontId="4" fillId="2" borderId="0" xfId="0" applyNumberFormat="1" applyFont="1" applyFill="1">
      <alignment wrapText="1"/>
    </xf>
    <xf numFmtId="0" fontId="0" fillId="0" borderId="0" xfId="0" applyAlignment="1"/>
    <xf numFmtId="0" fontId="21" fillId="0" borderId="0" xfId="0" applyFont="1">
      <alignment wrapText="1"/>
    </xf>
    <xf numFmtId="0" fontId="21" fillId="0" borderId="0" xfId="0" applyFont="1" applyAlignment="1">
      <alignment wrapText="1"/>
    </xf>
    <xf numFmtId="0" fontId="0" fillId="0" borderId="0" xfId="0" applyNumberFormat="1" applyAlignment="1">
      <alignment wrapText="1"/>
    </xf>
    <xf numFmtId="166" fontId="0" fillId="0" borderId="0" xfId="0" applyNumberFormat="1">
      <alignment wrapText="1"/>
    </xf>
    <xf numFmtId="0" fontId="0" fillId="0" borderId="0" xfId="0" applyAlignment="1">
      <alignment horizontal="center" vertical="center" wrapText="1"/>
    </xf>
    <xf numFmtId="0" fontId="23" fillId="0" borderId="0" xfId="0" applyFont="1" applyAlignment="1">
      <alignment horizontal="center" vertical="center" wrapText="1"/>
    </xf>
    <xf numFmtId="0" fontId="21" fillId="0" borderId="0" xfId="0" applyFont="1" applyAlignment="1">
      <alignment horizontal="center" vertical="center" wrapText="1"/>
    </xf>
    <xf numFmtId="20" fontId="0" fillId="0" borderId="0" xfId="0" applyNumberFormat="1">
      <alignment wrapText="1"/>
    </xf>
    <xf numFmtId="20" fontId="21" fillId="0" borderId="0" xfId="0" applyNumberFormat="1" applyFont="1">
      <alignment wrapText="1"/>
    </xf>
    <xf numFmtId="20" fontId="0" fillId="0" borderId="0" xfId="0" quotePrefix="1" applyNumberFormat="1">
      <alignment wrapText="1"/>
    </xf>
    <xf numFmtId="20" fontId="0" fillId="0" borderId="0" xfId="0" applyNumberFormat="1" applyFont="1" applyFill="1" applyBorder="1">
      <alignment wrapText="1"/>
    </xf>
    <xf numFmtId="167" fontId="0" fillId="0" borderId="0" xfId="0" applyNumberFormat="1">
      <alignment wrapText="1"/>
    </xf>
    <xf numFmtId="0" fontId="25" fillId="0" borderId="0" xfId="0" applyFont="1">
      <alignment wrapText="1"/>
    </xf>
    <xf numFmtId="0" fontId="0" fillId="0" borderId="10" xfId="0" applyBorder="1">
      <alignment wrapText="1"/>
    </xf>
    <xf numFmtId="0" fontId="0" fillId="0" borderId="0" xfId="0" applyBorder="1" applyAlignment="1">
      <alignment wrapText="1"/>
    </xf>
    <xf numFmtId="0" fontId="0" fillId="34" borderId="13" xfId="0" applyFill="1" applyBorder="1" applyAlignment="1">
      <alignment wrapText="1"/>
    </xf>
    <xf numFmtId="0" fontId="0" fillId="35" borderId="9" xfId="0" applyFill="1" applyBorder="1" applyAlignment="1">
      <alignment horizontal="center" vertical="center" wrapText="1"/>
    </xf>
    <xf numFmtId="0" fontId="0" fillId="0" borderId="0" xfId="0" applyBorder="1">
      <alignment wrapText="1"/>
    </xf>
    <xf numFmtId="0" fontId="0" fillId="0" borderId="0" xfId="0" applyBorder="1" applyAlignment="1"/>
    <xf numFmtId="167" fontId="0" fillId="0" borderId="0" xfId="0" applyNumberFormat="1" applyBorder="1" applyAlignment="1"/>
    <xf numFmtId="167" fontId="0" fillId="0" borderId="0" xfId="0" applyNumberFormat="1" applyBorder="1">
      <alignment wrapText="1"/>
    </xf>
    <xf numFmtId="0" fontId="0" fillId="35" borderId="8" xfId="0" applyFill="1" applyBorder="1" applyAlignment="1">
      <alignment horizontal="center" vertical="center" wrapText="1"/>
    </xf>
    <xf numFmtId="0" fontId="0" fillId="35" borderId="11" xfId="0" applyFill="1" applyBorder="1" applyAlignment="1">
      <alignment horizontal="center" vertical="center" wrapText="1"/>
    </xf>
    <xf numFmtId="20" fontId="0" fillId="0" borderId="12" xfId="0" applyNumberFormat="1" applyFont="1" applyFill="1" applyBorder="1">
      <alignment wrapText="1"/>
    </xf>
    <xf numFmtId="20" fontId="0" fillId="0" borderId="12" xfId="0" applyNumberFormat="1" applyBorder="1">
      <alignment wrapText="1"/>
    </xf>
    <xf numFmtId="0" fontId="0" fillId="34" borderId="15" xfId="0" applyFill="1" applyBorder="1">
      <alignment wrapText="1"/>
    </xf>
    <xf numFmtId="0" fontId="0" fillId="34" borderId="13" xfId="0" applyFill="1" applyBorder="1">
      <alignment wrapText="1"/>
    </xf>
    <xf numFmtId="0" fontId="0" fillId="34" borderId="13" xfId="0" applyFont="1" applyFill="1" applyBorder="1" applyAlignment="1">
      <alignment wrapText="1"/>
    </xf>
    <xf numFmtId="20" fontId="0" fillId="34" borderId="13" xfId="0" applyNumberFormat="1" applyFont="1" applyFill="1" applyBorder="1">
      <alignment wrapText="1"/>
    </xf>
    <xf numFmtId="20" fontId="0" fillId="34" borderId="14" xfId="0" applyNumberFormat="1" applyFont="1" applyFill="1" applyBorder="1">
      <alignment wrapText="1"/>
    </xf>
    <xf numFmtId="14" fontId="0" fillId="34" borderId="13" xfId="0" applyNumberFormat="1" applyFont="1" applyFill="1" applyBorder="1">
      <alignment wrapText="1"/>
    </xf>
    <xf numFmtId="167" fontId="0" fillId="34" borderId="13" xfId="0" applyNumberFormat="1" applyFill="1" applyBorder="1">
      <alignment wrapText="1"/>
    </xf>
    <xf numFmtId="20" fontId="0" fillId="34" borderId="14" xfId="0" applyNumberFormat="1" applyFill="1" applyBorder="1">
      <alignment wrapText="1"/>
    </xf>
    <xf numFmtId="0" fontId="22" fillId="0" borderId="0" xfId="2" applyFont="1" applyBorder="1" applyAlignment="1"/>
    <xf numFmtId="0" fontId="20" fillId="0" borderId="1" xfId="1" applyFont="1" applyBorder="1" applyAlignment="1"/>
    <xf numFmtId="0" fontId="2" fillId="0" borderId="0" xfId="3" applyAlignment="1"/>
    <xf numFmtId="0" fontId="3" fillId="0" borderId="0" xfId="2" applyAlignment="1"/>
    <xf numFmtId="0" fontId="1" fillId="0" borderId="1" xfId="1" applyFont="1" applyBorder="1" applyAlignment="1"/>
    <xf numFmtId="0" fontId="3" fillId="0" borderId="0" xfId="2"/>
  </cellXfs>
  <cellStyles count="47">
    <cellStyle name="20% - Aksen1" xfId="24" builtinId="30" customBuiltin="1"/>
    <cellStyle name="20% - Aksen2" xfId="28" builtinId="34" customBuiltin="1"/>
    <cellStyle name="20% - Aksen3" xfId="32" builtinId="38" customBuiltin="1"/>
    <cellStyle name="20% - Aksen4" xfId="36" builtinId="42" customBuiltin="1"/>
    <cellStyle name="20% - Aksen5" xfId="40" builtinId="46" customBuiltin="1"/>
    <cellStyle name="20% - Aksen6" xfId="44" builtinId="50" customBuiltin="1"/>
    <cellStyle name="40% - Aksen1" xfId="25" builtinId="31" customBuiltin="1"/>
    <cellStyle name="40% - Aksen2" xfId="29" builtinId="35" customBuiltin="1"/>
    <cellStyle name="40% - Aksen3" xfId="33" builtinId="39" customBuiltin="1"/>
    <cellStyle name="40% - Aksen4" xfId="37" builtinId="43" customBuiltin="1"/>
    <cellStyle name="40% - Aksen5" xfId="41" builtinId="47" customBuiltin="1"/>
    <cellStyle name="40% - Aksen6" xfId="45" builtinId="51" customBuiltin="1"/>
    <cellStyle name="60% - Aksen1" xfId="26" builtinId="32" customBuiltin="1"/>
    <cellStyle name="60% - Aksen2" xfId="30" builtinId="36" customBuiltin="1"/>
    <cellStyle name="60% - Aksen3" xfId="34" builtinId="40" customBuiltin="1"/>
    <cellStyle name="60% - Aksen4" xfId="38" builtinId="44" customBuiltin="1"/>
    <cellStyle name="60% - Aksen5" xfId="42" builtinId="48" customBuiltin="1"/>
    <cellStyle name="60% - Aksen6" xfId="46" builtinId="52" customBuiltin="1"/>
    <cellStyle name="Aksen1" xfId="23" builtinId="29" customBuiltin="1"/>
    <cellStyle name="Aksen2" xfId="27" builtinId="33" customBuiltin="1"/>
    <cellStyle name="Aksen3" xfId="31" builtinId="37" customBuiltin="1"/>
    <cellStyle name="Aksen4" xfId="35" builtinId="41" customBuiltin="1"/>
    <cellStyle name="Aksen5" xfId="39" builtinId="45" customBuiltin="1"/>
    <cellStyle name="Aksen6" xfId="43" builtinId="49" customBuiltin="1"/>
    <cellStyle name="Baik" xfId="11" builtinId="26" customBuiltin="1"/>
    <cellStyle name="Buruk" xfId="12" builtinId="27" customBuiltin="1"/>
    <cellStyle name="Catatan" xfId="20" builtinId="10" customBuiltin="1"/>
    <cellStyle name="Judul" xfId="9" builtinId="15" customBuiltin="1"/>
    <cellStyle name="Judul 1" xfId="1" builtinId="16" customBuiltin="1"/>
    <cellStyle name="Judul 2" xfId="2" builtinId="17" customBuiltin="1"/>
    <cellStyle name="Judul 3" xfId="3" builtinId="18" customBuiltin="1"/>
    <cellStyle name="Judul 4" xfId="10" builtinId="19" customBuiltin="1"/>
    <cellStyle name="Keluaran" xfId="15" builtinId="21" customBuiltin="1"/>
    <cellStyle name="Koma" xfId="4" builtinId="3" customBuiltin="1"/>
    <cellStyle name="Koma [0]" xfId="5" builtinId="6" customBuiltin="1"/>
    <cellStyle name="Masukan" xfId="14" builtinId="20" customBuiltin="1"/>
    <cellStyle name="Mata Uang" xfId="6" builtinId="4" customBuiltin="1"/>
    <cellStyle name="Mata Uang [0]" xfId="7" builtinId="7" customBuiltin="1"/>
    <cellStyle name="Netral" xfId="13" builtinId="28" customBuiltin="1"/>
    <cellStyle name="Normal" xfId="0" builtinId="0" customBuiltin="1"/>
    <cellStyle name="Perhitungan" xfId="16" builtinId="22" customBuiltin="1"/>
    <cellStyle name="Persen" xfId="8" builtinId="5" customBuiltin="1"/>
    <cellStyle name="Sel Periksa" xfId="18" builtinId="23" customBuiltin="1"/>
    <cellStyle name="Sel Tertaut" xfId="17" builtinId="24" customBuiltin="1"/>
    <cellStyle name="Teks Penjelasan" xfId="21" builtinId="53" customBuiltin="1"/>
    <cellStyle name="Teks Peringatan" xfId="19" builtinId="11" customBuiltin="1"/>
    <cellStyle name="Total" xfId="22" builtinId="25" customBuiltin="1"/>
  </cellStyles>
  <dxfs count="28">
    <dxf>
      <numFmt numFmtId="167" formatCode="dd/mm/yyyy"/>
    </dxf>
    <dxf>
      <numFmt numFmtId="167" formatCode="dd/mm/yyyy"/>
    </dxf>
    <dxf>
      <numFmt numFmtId="167" formatCode="dd/mm/yyyy"/>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font>
        <b val="0"/>
        <i val="0"/>
        <strike val="0"/>
        <outline val="0"/>
        <shadow val="0"/>
        <u val="none"/>
        <vertAlign val="baseline"/>
        <sz val="11"/>
        <color theme="1"/>
        <name val="Century Gothic"/>
        <scheme val="major"/>
      </font>
      <fill>
        <patternFill patternType="solid">
          <fgColor indexed="64"/>
          <bgColor theme="7" tint="-0.249977111117893"/>
        </patternFill>
      </fill>
    </dxf>
    <dxf>
      <numFmt numFmtId="167" formatCode="dd/mm/yyyy"/>
    </dxf>
    <dxf>
      <numFmt numFmtId="167" formatCode="dd/mm/yyyy"/>
    </dxf>
    <dxf>
      <numFmt numFmtId="167" formatCode="dd/mm/yyyy"/>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font>
        <b val="0"/>
        <i val="0"/>
        <strike val="0"/>
        <outline val="0"/>
        <shadow val="0"/>
        <u val="none"/>
        <vertAlign val="baseline"/>
        <sz val="11"/>
        <color theme="1"/>
        <name val="Century Gothic"/>
        <scheme val="major"/>
      </font>
      <fill>
        <patternFill patternType="solid">
          <fgColor indexed="64"/>
          <bgColor theme="7" tint="-0.249977111117893"/>
        </patternFill>
      </fill>
    </dxf>
    <dxf>
      <numFmt numFmtId="25" formatCode="hh:mm"/>
    </dxf>
    <dxf>
      <numFmt numFmtId="167" formatCode="dd/mm/yyyy"/>
    </dxf>
    <dxf>
      <numFmt numFmtId="167" formatCode="dd/mm/yyyy"/>
    </dxf>
    <dxf>
      <border>
        <left style="thin">
          <color theme="9" tint="0.39997558519241921"/>
        </left>
        <right style="thin">
          <color theme="9" tint="0.39997558519241921"/>
        </right>
        <top style="thin">
          <color theme="9" tint="0.39997558519241921"/>
        </top>
        <bottom style="thin">
          <color theme="9" tint="0.39997558519241921"/>
        </bottom>
      </border>
    </dxf>
    <dxf>
      <fill>
        <patternFill patternType="solid">
          <fgColor indexed="64"/>
          <bgColor theme="9" tint="-0.249977111117893"/>
        </patternFill>
      </fill>
      <alignment horizontal="center" vertical="center"/>
    </dxf>
    <dxf>
      <numFmt numFmtId="25" formatCode="hh:mm"/>
    </dxf>
    <dxf>
      <numFmt numFmtId="167" formatCode="dd/mm/yyyy"/>
    </dxf>
    <dxf>
      <numFmt numFmtId="167" formatCode="dd/mm/yyyy"/>
    </dxf>
    <dxf>
      <alignment horizontal="center" vertical="center"/>
    </dxf>
    <dxf>
      <numFmt numFmtId="25" formatCode="hh:mm"/>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
    </dxf>
    <dxf>
      <font>
        <b val="0"/>
        <i val="0"/>
        <strike val="0"/>
        <outline val="0"/>
        <shadow val="0"/>
        <u val="none"/>
        <vertAlign val="baseline"/>
        <sz val="11"/>
        <color theme="1"/>
        <name val="Century Gothic"/>
        <scheme val="major"/>
      </font>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0000000}" name="Per_Triwulan" displayName="Per_Triwulan" ref="B3:G25" totalsRowShown="0" headerRowDxfId="27">
  <autoFilter ref="B3:G25" xr:uid="{00000000-0009-0000-0100-00000D000000}">
    <filterColumn colId="0" hiddenButton="1"/>
    <filterColumn colId="1" hiddenButton="1"/>
    <filterColumn colId="2" hiddenButton="1"/>
    <filterColumn colId="3" hiddenButton="1"/>
    <filterColumn colId="4" hiddenButton="1"/>
    <filterColumn colId="5" hiddenButton="1"/>
  </autoFilter>
  <tableColumns count="6">
    <tableColumn id="7" xr3:uid="{00000000-0010-0000-0000-000007000000}" name="Tanggal" dataDxfId="26">
      <calculatedColumnFormula>DATE(2025,9,1)+TODAY()</calculatedColumnFormula>
    </tableColumn>
    <tableColumn id="1" xr3:uid="{00000000-0010-0000-0000-000001000000}" name="Lokasi" dataDxfId="25"/>
    <tableColumn id="2" xr3:uid="{00000000-0010-0000-0000-000002000000}" name="Deskripsi Aktivitas" dataDxfId="24"/>
    <tableColumn id="3" xr3:uid="{00000000-0010-0000-0000-000003000000}" name="Jam Mulai"/>
    <tableColumn id="4" xr3:uid="{00000000-0010-0000-0000-000004000000}" name="Jam Selesai"/>
    <tableColumn id="5" xr3:uid="{00000000-0010-0000-0000-000005000000}" name="Waktu Kerja" dataDxfId="23">
      <calculatedColumnFormula>(Per_Triwulan[[#This Row],[Jam Selesai]]-Per_Triwulan[[#This Row],[Jam Mulai]])</calculatedColumnFormula>
    </tableColumn>
  </tableColumns>
  <tableStyleInfo name="TableStyleMedium2" showFirstColumn="0" showLastColumn="0" showRowStripes="1" showColumnStripes="0"/>
  <extLst>
    <ext xmlns:x14="http://schemas.microsoft.com/office/spreadsheetml/2009/9/main" uri="{504A1905-F514-4f6f-8877-14C23A59335A}">
      <x14:table altTextSummary="Pilih Kategori dan masukkan Aktivitas, Deskripsi, Tanggal 1, 2, dan 3 dalam tabel ini"/>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1000000}" name="Musim_gugur" displayName="Musim_gugur" ref="B3:G26" totalsRowShown="0" headerRowDxfId="22">
  <autoFilter ref="B3:G26" xr:uid="{00000000-0009-0000-0100-00001D000000}">
    <filterColumn colId="0" hiddenButton="1"/>
    <filterColumn colId="1" hiddenButton="1"/>
    <filterColumn colId="2" hiddenButton="1"/>
    <filterColumn colId="3" hiddenButton="1"/>
    <filterColumn colId="4" hiddenButton="1"/>
    <filterColumn colId="5" hiddenButton="1"/>
  </autoFilter>
  <tableColumns count="6">
    <tableColumn id="6" xr3:uid="{00000000-0010-0000-0100-000006000000}" name="Tanggal"/>
    <tableColumn id="1" xr3:uid="{00000000-0010-0000-0100-000001000000}" name="Lokasi"/>
    <tableColumn id="2" xr3:uid="{00000000-0010-0000-0100-000002000000}" name="Deskripsi aktivitas"/>
    <tableColumn id="3" xr3:uid="{00000000-0010-0000-0100-000003000000}" name="Jam Mulai" dataDxfId="21"/>
    <tableColumn id="4" xr3:uid="{00000000-0010-0000-0100-000004000000}" name="Jam Selesai" dataDxfId="20"/>
    <tableColumn id="5" xr3:uid="{00000000-0010-0000-0100-000005000000}" name="Waktu Kerja" dataDxfId="19">
      <calculatedColumnFormula>(Musim_gugur[[#This Row],[Jam Selesai]]-Musim_gugur[[#This Row],[Jam Mulai]])</calculatedColumnFormula>
    </tableColumn>
  </tableColumns>
  <tableStyleInfo name="TableStyleMedium3" showFirstColumn="0" showLastColumn="0" showRowStripes="1" showColumnStripes="0"/>
  <extLst>
    <ext xmlns:x14="http://schemas.microsoft.com/office/spreadsheetml/2009/9/main" uri="{504A1905-F514-4f6f-8877-14C23A59335A}">
      <x14:table altTextSummary="Pilih Kategori dan masukkan Aktivitas, Deskripsi, Tanggal 1, 2, dan 3 dalam tabel ini"/>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90E50C-47DA-484C-B1CB-9CA4DF36155F}" name="Musim_gugur2" displayName="Musim_gugur2" ref="B3:G26" totalsRowShown="0" headerRowDxfId="18" tableBorderDxfId="17">
  <autoFilter ref="B3:G26" xr:uid="{00000000-0009-0000-0100-00001D000000}">
    <filterColumn colId="0" hiddenButton="1"/>
    <filterColumn colId="1" hiddenButton="1"/>
    <filterColumn colId="2" hiddenButton="1"/>
    <filterColumn colId="3" hiddenButton="1"/>
    <filterColumn colId="4" hiddenButton="1"/>
    <filterColumn colId="5" hiddenButton="1"/>
  </autoFilter>
  <tableColumns count="6">
    <tableColumn id="6" xr3:uid="{B2D6EF9D-1855-E443-859F-B9E4FABDE136}" name="Tanggal"/>
    <tableColumn id="1" xr3:uid="{7A1C03DB-A061-C742-A35E-5EADB114CB4D}" name="Lokasi"/>
    <tableColumn id="2" xr3:uid="{F6A1FFDA-9E26-F847-B29A-2DB0BDAB270D}" name="Deskripsi aktivitas"/>
    <tableColumn id="3" xr3:uid="{1B3DBB90-A316-E649-99A9-35F39AB0BE30}" name="Jam Mulai" dataDxfId="16"/>
    <tableColumn id="4" xr3:uid="{4E9EDDC3-DCEC-7640-89AB-514F3A097E21}" name="Jam Selesai" dataDxfId="15"/>
    <tableColumn id="5" xr3:uid="{319E04C0-BC80-B54C-9D1F-7ECA881F9121}" name="Waktu Kerja" dataDxfId="14">
      <calculatedColumnFormula>(Musim_gugur2[[#This Row],[Jam Selesai]]-Musim_gugur2[[#This Row],[Jam Mulai]])</calculatedColumnFormula>
    </tableColumn>
  </tableColumns>
  <tableStyleInfo name="TableStyleMedium3" showFirstColumn="0" showLastColumn="0" showRowStripes="1" showColumnStripes="0"/>
  <extLst>
    <ext xmlns:x14="http://schemas.microsoft.com/office/spreadsheetml/2009/9/main" uri="{504A1905-F514-4f6f-8877-14C23A59335A}">
      <x14:table altTextSummary="Pilih Kategori dan masukkan Aktivitas, Deskripsi, Tanggal 1, 2, dan 3 dalam tabel ini"/>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02000000}" name="Musim_semi" displayName="Musim_semi" ref="B3:G8" totalsRowShown="0" headerRowDxfId="13">
  <autoFilter ref="B3:G8" xr:uid="{00000000-0009-0000-0100-00002E000000}"/>
  <tableColumns count="6">
    <tableColumn id="6" xr3:uid="{00000000-0010-0000-0200-000006000000}" name="Kategori" dataDxfId="12"/>
    <tableColumn id="1" xr3:uid="{00000000-0010-0000-0200-000001000000}" name="Aktivitas" dataDxfId="11"/>
    <tableColumn id="2" xr3:uid="{00000000-0010-0000-0200-000002000000}" name="Deskripsi" dataDxfId="10"/>
    <tableColumn id="3" xr3:uid="{00000000-0010-0000-0200-000003000000}" name="Tanggal 1" dataDxfId="9"/>
    <tableColumn id="4" xr3:uid="{00000000-0010-0000-0200-000004000000}" name="Tanggal 2" dataDxfId="8"/>
    <tableColumn id="5" xr3:uid="{00000000-0010-0000-0200-000005000000}" name="Tanggal 3" dataDxfId="7"/>
  </tableColumns>
  <tableStyleInfo name="TableStyleMedium5" showFirstColumn="0" showLastColumn="0" showRowStripes="1" showColumnStripes="0"/>
  <extLst>
    <ext xmlns:x14="http://schemas.microsoft.com/office/spreadsheetml/2009/9/main" uri="{504A1905-F514-4f6f-8877-14C23A59335A}">
      <x14:table altTextSummary="Pilih Kategori dan masukkan Aktivitas, Deskripsi, Tanggal 1, 2, dan 3 dalam tabel ini"/>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2E43C0-5022-2C4D-9937-59DE1ACE842E}" name="Musim_semi3" displayName="Musim_semi3" ref="B2:G7" totalsRowShown="0" headerRowDxfId="6">
  <autoFilter ref="B2:G7" xr:uid="{00000000-0009-0000-0100-00002E000000}"/>
  <tableColumns count="6">
    <tableColumn id="6" xr3:uid="{7D6CC321-B495-4549-8848-9618DD8ABBE1}" name="Kategori" dataDxfId="5"/>
    <tableColumn id="1" xr3:uid="{CEAFED43-8E09-9B4D-A9EB-2883F293FE92}" name="Aktivitas" dataDxfId="4"/>
    <tableColumn id="2" xr3:uid="{51E56069-8B20-A04E-84F6-D06172E92648}" name="Deskripsi" dataDxfId="3"/>
    <tableColumn id="3" xr3:uid="{0D60B2FF-D62E-E94B-BF99-9F7CE7E5E865}" name="Tanggal 1" dataDxfId="2"/>
    <tableColumn id="4" xr3:uid="{0A1097A9-D80C-B649-9DBA-58B15B91956C}" name="Tanggal 2" dataDxfId="1"/>
    <tableColumn id="5" xr3:uid="{ABDDE5A3-0CBF-4F4F-93A6-D00C8D7ABC9B}" name="Tanggal 3" dataDxfId="0"/>
  </tableColumns>
  <tableStyleInfo name="TableStyleMedium5" showFirstColumn="0" showLastColumn="0" showRowStripes="1" showColumnStripes="0"/>
  <extLst>
    <ext xmlns:x14="http://schemas.microsoft.com/office/spreadsheetml/2009/9/main" uri="{504A1905-F514-4f6f-8877-14C23A59335A}">
      <x14:table altTextSummary="Pilih Kategori dan masukkan Aktivitas, Deskripsi, Tanggal 1, 2, dan 3 dalam tabel ini"/>
    </ext>
  </extLst>
</table>
</file>

<file path=xl/theme/theme1.xml><?xml version="1.0" encoding="utf-8"?>
<a:theme xmlns:a="http://schemas.openxmlformats.org/drawingml/2006/main" name="Office Theme">
  <a:themeElements>
    <a:clrScheme name="Home maintenance schedule">
      <a:dk1>
        <a:srgbClr val="000000"/>
      </a:dk1>
      <a:lt1>
        <a:srgbClr val="FFFFFF"/>
      </a:lt1>
      <a:dk2>
        <a:srgbClr val="3B1D0C"/>
      </a:dk2>
      <a:lt2>
        <a:srgbClr val="E9ECEC"/>
      </a:lt2>
      <a:accent1>
        <a:srgbClr val="586572"/>
      </a:accent1>
      <a:accent2>
        <a:srgbClr val="ED7430"/>
      </a:accent2>
      <a:accent3>
        <a:srgbClr val="F9AC1E"/>
      </a:accent3>
      <a:accent4>
        <a:srgbClr val="62A985"/>
      </a:accent4>
      <a:accent5>
        <a:srgbClr val="D9593C"/>
      </a:accent5>
      <a:accent6>
        <a:srgbClr val="8D6B88"/>
      </a:accent6>
      <a:hlink>
        <a:srgbClr val="62A985"/>
      </a:hlink>
      <a:folHlink>
        <a:srgbClr val="8D6B88"/>
      </a:folHlink>
    </a:clrScheme>
    <a:fontScheme name="Home maintenance schedule">
      <a:majorFont>
        <a:latin typeface="Century Gothic"/>
        <a:ea typeface=""/>
        <a:cs typeface=""/>
      </a:majorFont>
      <a:minorFont>
        <a:latin typeface="Trebuchet M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pageSetUpPr autoPageBreaks="0" fitToPage="1"/>
  </sheetPr>
  <dimension ref="B1:G25"/>
  <sheetViews>
    <sheetView showGridLines="0" topLeftCell="B1" workbookViewId="0">
      <selection activeCell="D15" sqref="D15"/>
    </sheetView>
  </sheetViews>
  <sheetFormatPr defaultColWidth="8.96875" defaultRowHeight="30" customHeight="1" x14ac:dyDescent="0.15"/>
  <cols>
    <col min="1" max="1" width="2.59765625" style="8" customWidth="1"/>
    <col min="2" max="3" width="27.171875" style="8" customWidth="1"/>
    <col min="4" max="4" width="115.58203125" style="8" customWidth="1"/>
    <col min="5" max="6" width="11.5703125" style="8" customWidth="1"/>
    <col min="7" max="7" width="14.55859375" style="8" customWidth="1"/>
    <col min="8" max="8" width="2.59765625" style="8" customWidth="1"/>
    <col min="9" max="16384" width="8.96875" style="8"/>
  </cols>
  <sheetData>
    <row r="1" spans="2:7" ht="48" customHeight="1" thickBot="1" x14ac:dyDescent="0.4">
      <c r="B1" s="42" t="s">
        <v>54</v>
      </c>
      <c r="C1" s="42"/>
      <c r="D1" s="42"/>
      <c r="E1" s="42"/>
      <c r="F1" s="42"/>
      <c r="G1" s="42"/>
    </row>
    <row r="2" spans="2:7" ht="39.75" customHeight="1" thickTop="1" x14ac:dyDescent="0.25">
      <c r="B2" s="41" t="s">
        <v>26</v>
      </c>
      <c r="C2" s="41"/>
      <c r="D2" s="41"/>
      <c r="E2"/>
      <c r="F2"/>
      <c r="G2"/>
    </row>
    <row r="3" spans="2:7" s="14" customFormat="1" ht="30" customHeight="1" x14ac:dyDescent="0.15">
      <c r="B3" s="12" t="s">
        <v>27</v>
      </c>
      <c r="C3" s="13" t="s">
        <v>50</v>
      </c>
      <c r="D3" s="13" t="s">
        <v>51</v>
      </c>
      <c r="E3" s="12" t="s">
        <v>58</v>
      </c>
      <c r="F3" s="12" t="s">
        <v>57</v>
      </c>
      <c r="G3" s="12" t="s">
        <v>59</v>
      </c>
    </row>
    <row r="4" spans="2:7" ht="30" customHeight="1" x14ac:dyDescent="0.15">
      <c r="B4" s="11" t="s">
        <v>28</v>
      </c>
      <c r="C4" s="9" t="s">
        <v>87</v>
      </c>
      <c r="D4" s="9" t="s">
        <v>55</v>
      </c>
      <c r="E4" s="15">
        <v>0.375</v>
      </c>
      <c r="F4" s="15">
        <v>0.5</v>
      </c>
      <c r="G4" s="17">
        <f>(Per_Triwulan[[#This Row],[Jam Selesai]]-Per_Triwulan[[#This Row],[Jam Mulai]])</f>
        <v>0.125</v>
      </c>
    </row>
    <row r="5" spans="2:7" ht="30" customHeight="1" x14ac:dyDescent="0.15">
      <c r="B5" s="2" t="s">
        <v>29</v>
      </c>
      <c r="C5" s="9" t="s">
        <v>52</v>
      </c>
      <c r="D5" s="9" t="s">
        <v>109</v>
      </c>
      <c r="E5" s="15">
        <v>0.375</v>
      </c>
      <c r="F5" s="15">
        <v>0.54166666666666663</v>
      </c>
      <c r="G5" s="15">
        <f>(Per_Triwulan[[#This Row],[Jam Selesai]]-Per_Triwulan[[#This Row],[Jam Mulai]])</f>
        <v>0.16666666666666663</v>
      </c>
    </row>
    <row r="6" spans="2:7" ht="30" customHeight="1" x14ac:dyDescent="0.15">
      <c r="B6" s="2" t="s">
        <v>30</v>
      </c>
      <c r="C6" s="9" t="s">
        <v>52</v>
      </c>
      <c r="D6" s="9" t="s">
        <v>110</v>
      </c>
      <c r="E6" s="15">
        <v>0.375</v>
      </c>
      <c r="F6" s="15">
        <v>0.54166666666666663</v>
      </c>
      <c r="G6" s="15">
        <f>(Per_Triwulan[[#This Row],[Jam Selesai]]-Per_Triwulan[[#This Row],[Jam Mulai]])</f>
        <v>0.16666666666666663</v>
      </c>
    </row>
    <row r="7" spans="2:7" ht="30" customHeight="1" x14ac:dyDescent="0.15">
      <c r="B7" s="2" t="s">
        <v>31</v>
      </c>
      <c r="C7" s="9" t="s">
        <v>52</v>
      </c>
      <c r="D7" s="9" t="s">
        <v>111</v>
      </c>
      <c r="E7" s="15">
        <v>0.375</v>
      </c>
      <c r="F7" s="15">
        <v>0.54166666666666663</v>
      </c>
      <c r="G7" s="15">
        <f>(Per_Triwulan[[#This Row],[Jam Selesai]]-Per_Triwulan[[#This Row],[Jam Mulai]])</f>
        <v>0.16666666666666663</v>
      </c>
    </row>
    <row r="8" spans="2:7" ht="30" customHeight="1" x14ac:dyDescent="0.15">
      <c r="B8" s="2" t="s">
        <v>32</v>
      </c>
      <c r="C8" s="9" t="s">
        <v>52</v>
      </c>
      <c r="D8" s="9" t="s">
        <v>112</v>
      </c>
      <c r="E8" s="15">
        <v>0.375</v>
      </c>
      <c r="F8" s="15">
        <v>0.54166666666666663</v>
      </c>
      <c r="G8" s="15">
        <f>(Per_Triwulan[[#This Row],[Jam Selesai]]-Per_Triwulan[[#This Row],[Jam Mulai]])</f>
        <v>0.16666666666666663</v>
      </c>
    </row>
    <row r="9" spans="2:7" ht="30" customHeight="1" x14ac:dyDescent="0.15">
      <c r="B9" s="2" t="s">
        <v>33</v>
      </c>
      <c r="C9" s="9" t="s">
        <v>52</v>
      </c>
      <c r="D9" s="9" t="s">
        <v>113</v>
      </c>
      <c r="E9" s="16">
        <v>0.33333333333333331</v>
      </c>
      <c r="F9" s="16">
        <v>0.625</v>
      </c>
      <c r="G9" s="16">
        <f>(Per_Triwulan[[#This Row],[Jam Selesai]]-Per_Triwulan[[#This Row],[Jam Mulai]])</f>
        <v>0.29166666666666669</v>
      </c>
    </row>
    <row r="10" spans="2:7" ht="30" customHeight="1" x14ac:dyDescent="0.15">
      <c r="B10" s="2" t="s">
        <v>34</v>
      </c>
      <c r="C10" s="9" t="s">
        <v>87</v>
      </c>
      <c r="D10" s="9" t="s">
        <v>114</v>
      </c>
      <c r="E10" s="16">
        <v>0.3125</v>
      </c>
      <c r="F10" s="16">
        <v>0.6875</v>
      </c>
      <c r="G10" s="16">
        <f>(Per_Triwulan[[#This Row],[Jam Selesai]]-Per_Triwulan[[#This Row],[Jam Mulai]])</f>
        <v>0.375</v>
      </c>
    </row>
    <row r="11" spans="2:7" ht="30" customHeight="1" x14ac:dyDescent="0.15">
      <c r="B11" s="2" t="s">
        <v>35</v>
      </c>
      <c r="C11" s="9" t="s">
        <v>87</v>
      </c>
      <c r="D11" s="9" t="s">
        <v>56</v>
      </c>
      <c r="E11" s="16">
        <v>0.3125</v>
      </c>
      <c r="F11" s="16">
        <v>0.6875</v>
      </c>
      <c r="G11" s="16">
        <f>(Per_Triwulan[[#This Row],[Jam Selesai]]-Per_Triwulan[[#This Row],[Jam Mulai]])</f>
        <v>0.375</v>
      </c>
    </row>
    <row r="12" spans="2:7" ht="30" customHeight="1" x14ac:dyDescent="0.15">
      <c r="B12" s="2" t="s">
        <v>36</v>
      </c>
      <c r="C12" s="9" t="s">
        <v>53</v>
      </c>
      <c r="D12" s="9" t="s">
        <v>56</v>
      </c>
      <c r="E12" s="16">
        <v>0.27083333333333331</v>
      </c>
      <c r="F12" s="16">
        <v>0.64583333333333337</v>
      </c>
      <c r="G12" s="16">
        <f>(Per_Triwulan[[#This Row],[Jam Selesai]]-Per_Triwulan[[#This Row],[Jam Mulai]])</f>
        <v>0.37500000000000006</v>
      </c>
    </row>
    <row r="13" spans="2:7" ht="30" customHeight="1" x14ac:dyDescent="0.15">
      <c r="B13" s="2" t="s">
        <v>37</v>
      </c>
      <c r="C13" s="9" t="s">
        <v>87</v>
      </c>
      <c r="D13" s="9" t="s">
        <v>99</v>
      </c>
      <c r="E13" s="16">
        <v>0.3125</v>
      </c>
      <c r="F13" s="16">
        <v>0.60416666666666663</v>
      </c>
      <c r="G13" s="16">
        <f>(Per_Triwulan[[#This Row],[Jam Selesai]]-Per_Triwulan[[#This Row],[Jam Mulai]])</f>
        <v>0.29166666666666663</v>
      </c>
    </row>
    <row r="14" spans="2:7" ht="30" customHeight="1" x14ac:dyDescent="0.15">
      <c r="B14" s="2" t="s">
        <v>38</v>
      </c>
      <c r="C14" s="9" t="s">
        <v>87</v>
      </c>
      <c r="D14" s="9" t="s">
        <v>100</v>
      </c>
      <c r="E14" s="16">
        <v>0.3125</v>
      </c>
      <c r="F14" s="16">
        <v>0.6875</v>
      </c>
      <c r="G14" s="16">
        <f>(Per_Triwulan[[#This Row],[Jam Selesai]]-Per_Triwulan[[#This Row],[Jam Mulai]])</f>
        <v>0.375</v>
      </c>
    </row>
    <row r="15" spans="2:7" ht="30" customHeight="1" x14ac:dyDescent="0.15">
      <c r="B15" s="2" t="s">
        <v>39</v>
      </c>
      <c r="C15" s="9" t="s">
        <v>53</v>
      </c>
      <c r="D15" s="9" t="s">
        <v>101</v>
      </c>
      <c r="E15" s="16">
        <v>0.27083333333333331</v>
      </c>
      <c r="F15" s="16">
        <v>0.64583333333333337</v>
      </c>
      <c r="G15" s="16">
        <f>(Per_Triwulan[[#This Row],[Jam Selesai]]-Per_Triwulan[[#This Row],[Jam Mulai]])</f>
        <v>0.37500000000000006</v>
      </c>
    </row>
    <row r="16" spans="2:7" ht="30" customHeight="1" x14ac:dyDescent="0.15">
      <c r="B16" s="2" t="s">
        <v>40</v>
      </c>
      <c r="C16" s="9" t="s">
        <v>87</v>
      </c>
      <c r="D16" s="9" t="s">
        <v>102</v>
      </c>
      <c r="E16" s="16">
        <v>0.3125</v>
      </c>
      <c r="F16" s="16">
        <v>0.6875</v>
      </c>
      <c r="G16" s="16">
        <f>(Per_Triwulan[[#This Row],[Jam Selesai]]-Per_Triwulan[[#This Row],[Jam Mulai]])</f>
        <v>0.375</v>
      </c>
    </row>
    <row r="17" spans="2:7" ht="30" customHeight="1" x14ac:dyDescent="0.15">
      <c r="B17" s="2" t="s">
        <v>41</v>
      </c>
      <c r="C17" s="9" t="s">
        <v>87</v>
      </c>
      <c r="D17" s="9" t="s">
        <v>103</v>
      </c>
      <c r="E17" s="16">
        <v>0.3125</v>
      </c>
      <c r="F17" s="16">
        <v>0.6875</v>
      </c>
      <c r="G17" s="16">
        <f>(Per_Triwulan[[#This Row],[Jam Selesai]]-Per_Triwulan[[#This Row],[Jam Mulai]])</f>
        <v>0.375</v>
      </c>
    </row>
    <row r="18" spans="2:7" ht="30" customHeight="1" x14ac:dyDescent="0.15">
      <c r="B18" s="2" t="s">
        <v>42</v>
      </c>
      <c r="C18" s="9" t="s">
        <v>53</v>
      </c>
      <c r="D18" s="9" t="s">
        <v>92</v>
      </c>
      <c r="E18" s="16">
        <v>0.27083333333333331</v>
      </c>
      <c r="F18" s="16">
        <v>0.64583333333333337</v>
      </c>
      <c r="G18" s="16">
        <f>(Per_Triwulan[[#This Row],[Jam Selesai]]-Per_Triwulan[[#This Row],[Jam Mulai]])</f>
        <v>0.37500000000000006</v>
      </c>
    </row>
    <row r="19" spans="2:7" ht="30" customHeight="1" x14ac:dyDescent="0.15">
      <c r="B19" s="2" t="s">
        <v>43</v>
      </c>
      <c r="C19" s="9" t="s">
        <v>87</v>
      </c>
      <c r="D19" s="9" t="s">
        <v>118</v>
      </c>
      <c r="E19" s="16">
        <v>0.3125</v>
      </c>
      <c r="F19" s="16">
        <v>0.6875</v>
      </c>
      <c r="G19" s="16">
        <f>(Per_Triwulan[[#This Row],[Jam Selesai]]-Per_Triwulan[[#This Row],[Jam Mulai]])</f>
        <v>0.375</v>
      </c>
    </row>
    <row r="20" spans="2:7" ht="30" customHeight="1" x14ac:dyDescent="0.15">
      <c r="B20" s="2" t="s">
        <v>44</v>
      </c>
      <c r="C20" s="9" t="s">
        <v>87</v>
      </c>
      <c r="D20" s="9" t="s">
        <v>115</v>
      </c>
      <c r="E20" s="16">
        <v>0.3125</v>
      </c>
      <c r="F20" s="16">
        <v>0.6875</v>
      </c>
      <c r="G20" s="16">
        <f>(Per_Triwulan[[#This Row],[Jam Selesai]]-Per_Triwulan[[#This Row],[Jam Mulai]])</f>
        <v>0.375</v>
      </c>
    </row>
    <row r="21" spans="2:7" ht="30" customHeight="1" x14ac:dyDescent="0.15">
      <c r="B21" s="2" t="s">
        <v>45</v>
      </c>
      <c r="C21" s="9" t="s">
        <v>87</v>
      </c>
      <c r="D21" s="9" t="s">
        <v>116</v>
      </c>
      <c r="E21" s="16">
        <v>0.3125</v>
      </c>
      <c r="F21" s="16">
        <v>0.6875</v>
      </c>
      <c r="G21" s="16">
        <f>(Per_Triwulan[[#This Row],[Jam Selesai]]-Per_Triwulan[[#This Row],[Jam Mulai]])</f>
        <v>0.375</v>
      </c>
    </row>
    <row r="22" spans="2:7" ht="30" customHeight="1" x14ac:dyDescent="0.15">
      <c r="B22" s="2" t="s">
        <v>46</v>
      </c>
      <c r="C22" s="9" t="s">
        <v>88</v>
      </c>
      <c r="D22" s="9" t="s">
        <v>90</v>
      </c>
      <c r="E22" s="16">
        <v>0.3125</v>
      </c>
      <c r="F22" s="16">
        <v>0.6875</v>
      </c>
      <c r="G22" s="16">
        <f>(Per_Triwulan[[#This Row],[Jam Selesai]]-Per_Triwulan[[#This Row],[Jam Mulai]])</f>
        <v>0.375</v>
      </c>
    </row>
    <row r="23" spans="2:7" ht="30" customHeight="1" x14ac:dyDescent="0.15">
      <c r="B23" s="2" t="s">
        <v>47</v>
      </c>
      <c r="C23" s="9" t="s">
        <v>88</v>
      </c>
      <c r="D23" s="9" t="s">
        <v>90</v>
      </c>
      <c r="E23" s="16">
        <v>0.3125</v>
      </c>
      <c r="F23" s="16">
        <v>0.60416666666666663</v>
      </c>
      <c r="G23" s="16">
        <f>(Per_Triwulan[[#This Row],[Jam Selesai]]-Per_Triwulan[[#This Row],[Jam Mulai]])</f>
        <v>0.29166666666666663</v>
      </c>
    </row>
    <row r="24" spans="2:7" ht="30" customHeight="1" x14ac:dyDescent="0.15">
      <c r="B24" s="2" t="s">
        <v>48</v>
      </c>
      <c r="C24" s="9" t="s">
        <v>88</v>
      </c>
      <c r="D24" s="9" t="s">
        <v>91</v>
      </c>
      <c r="E24" s="16">
        <v>0.3125</v>
      </c>
      <c r="F24" s="16">
        <v>0.6875</v>
      </c>
      <c r="G24" s="16">
        <f>(Per_Triwulan[[#This Row],[Jam Selesai]]-Per_Triwulan[[#This Row],[Jam Mulai]])</f>
        <v>0.375</v>
      </c>
    </row>
    <row r="25" spans="2:7" ht="30" customHeight="1" x14ac:dyDescent="0.15">
      <c r="B25" s="2" t="s">
        <v>49</v>
      </c>
      <c r="C25" s="9" t="s">
        <v>87</v>
      </c>
      <c r="D25" s="9" t="s">
        <v>117</v>
      </c>
      <c r="E25" s="16">
        <v>0.3125</v>
      </c>
      <c r="F25" s="16">
        <v>0.6875</v>
      </c>
      <c r="G25" s="16">
        <f>(Per_Triwulan[[#This Row],[Jam Selesai]]-Per_Triwulan[[#This Row],[Jam Mulai]])</f>
        <v>0.375</v>
      </c>
    </row>
  </sheetData>
  <mergeCells count="2">
    <mergeCell ref="B2:D2"/>
    <mergeCell ref="B1:G1"/>
  </mergeCells>
  <phoneticPr fontId="24" alignment="center"/>
  <dataValidations count="5">
    <dataValidation allowBlank="1" showInputMessage="1" showErrorMessage="1" prompt="Buat Jadwal Pemeliharaan Rumah dan Daftar Tugas dalam buku kerja ini. Masukkan aktivitas dalam tabel Per Triwulan dalam lembar kerja ini" sqref="A1" xr:uid="{00000000-0002-0000-0000-000001000000}"/>
    <dataValidation allowBlank="1" showInputMessage="1" showErrorMessage="1" prompt="Judul lembar kerja berada dalam sel ini" sqref="B1" xr:uid="{00000000-0002-0000-0000-000002000000}"/>
    <dataValidation allowBlank="1" showInputMessage="1" showErrorMessage="1" prompt="Masukkan detail per triwulan dalam tabel di bawah ini dan Tanggal terakhir dilakukan dalam sel di sebelah kanan" sqref="B2:D2" xr:uid="{00000000-0002-0000-0000-000004000000}"/>
    <dataValidation allowBlank="1" showInputMessage="1" showErrorMessage="1" prompt="Masukkan Aktivitas dalam kolom di bawah judul ini" sqref="C3" xr:uid="{00000000-0002-0000-0000-000006000000}"/>
    <dataValidation allowBlank="1" showInputMessage="1" showErrorMessage="1" prompt="Masukkan Deskripsi dalam kolom di bawah judul ini" sqref="D3" xr:uid="{00000000-0002-0000-0000-000007000000}"/>
  </dataValidations>
  <printOptions horizontalCentered="1"/>
  <pageMargins left="0.4" right="0.4" top="0.4" bottom="0.6" header="0.3" footer="0.3"/>
  <pageSetup paperSize="9" fitToHeight="0" orientation="portrait" verticalDpi="360" r:id="rId1"/>
  <headerFooter differentFirst="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5" tint="-0.249977111117893"/>
    <pageSetUpPr autoPageBreaks="0" fitToPage="1"/>
  </sheetPr>
  <dimension ref="A1:G26"/>
  <sheetViews>
    <sheetView showGridLines="0" tabSelected="1" workbookViewId="0">
      <selection activeCell="M26" sqref="M26"/>
    </sheetView>
  </sheetViews>
  <sheetFormatPr defaultRowHeight="30" customHeight="1" x14ac:dyDescent="0.15"/>
  <cols>
    <col min="1" max="1" width="2.59765625" customWidth="1"/>
    <col min="2" max="3" width="27.171875" customWidth="1"/>
    <col min="4" max="4" width="115.58203125" customWidth="1"/>
    <col min="5" max="6" width="11.5703125" customWidth="1"/>
    <col min="7" max="7" width="14.0390625" customWidth="1"/>
    <col min="8" max="8" width="2.59765625" customWidth="1"/>
  </cols>
  <sheetData>
    <row r="1" spans="1:7" s="20" customFormat="1" ht="50.25" customHeight="1" thickBot="1" x14ac:dyDescent="0.4">
      <c r="A1" s="20" t="s">
        <v>95</v>
      </c>
      <c r="B1" s="45" t="s">
        <v>54</v>
      </c>
      <c r="C1" s="45"/>
      <c r="D1" s="45"/>
      <c r="E1" s="45"/>
      <c r="F1" s="45"/>
      <c r="G1" s="45"/>
    </row>
    <row r="2" spans="1:7" ht="39.75" customHeight="1" thickTop="1" x14ac:dyDescent="0.25">
      <c r="B2" s="44" t="s">
        <v>84</v>
      </c>
      <c r="C2" s="44"/>
      <c r="D2" s="44"/>
      <c r="E2" s="43"/>
      <c r="F2" s="43"/>
      <c r="G2" s="43"/>
    </row>
    <row r="3" spans="1:7" s="12" customFormat="1" ht="30" customHeight="1" x14ac:dyDescent="0.15">
      <c r="B3" s="12" t="s">
        <v>27</v>
      </c>
      <c r="C3" s="12" t="s">
        <v>50</v>
      </c>
      <c r="D3" s="12" t="s">
        <v>60</v>
      </c>
      <c r="E3" s="12" t="s">
        <v>58</v>
      </c>
      <c r="F3" s="12" t="s">
        <v>57</v>
      </c>
      <c r="G3" s="12" t="s">
        <v>59</v>
      </c>
    </row>
    <row r="4" spans="1:7" ht="30" customHeight="1" x14ac:dyDescent="0.15">
      <c r="B4" t="s">
        <v>61</v>
      </c>
      <c r="C4" t="s">
        <v>87</v>
      </c>
      <c r="D4" t="s">
        <v>104</v>
      </c>
      <c r="E4" s="18">
        <v>0.3125</v>
      </c>
      <c r="F4" s="18">
        <v>0.6875</v>
      </c>
      <c r="G4" s="18">
        <f>(Musim_gugur[[#This Row],[Jam Selesai]]-Musim_gugur[[#This Row],[Jam Mulai]])</f>
        <v>0.375</v>
      </c>
    </row>
    <row r="5" spans="1:7" ht="30" customHeight="1" x14ac:dyDescent="0.15">
      <c r="B5" t="s">
        <v>62</v>
      </c>
      <c r="C5" t="s">
        <v>88</v>
      </c>
      <c r="D5" s="9" t="s">
        <v>105</v>
      </c>
      <c r="E5" s="18">
        <v>0.3125</v>
      </c>
      <c r="F5" s="18">
        <v>0.6875</v>
      </c>
      <c r="G5" s="18">
        <f>(Musim_gugur[[#This Row],[Jam Selesai]]-Musim_gugur[[#This Row],[Jam Mulai]])</f>
        <v>0.375</v>
      </c>
    </row>
    <row r="6" spans="1:7" ht="30" customHeight="1" x14ac:dyDescent="0.15">
      <c r="B6" t="s">
        <v>63</v>
      </c>
      <c r="C6" t="s">
        <v>88</v>
      </c>
      <c r="D6" s="1" t="s">
        <v>93</v>
      </c>
      <c r="E6" s="18">
        <v>0.3125</v>
      </c>
      <c r="F6" s="16">
        <v>0.60416666666666663</v>
      </c>
      <c r="G6" s="18">
        <f>(Musim_gugur[[#This Row],[Jam Selesai]]-Musim_gugur[[#This Row],[Jam Mulai]])</f>
        <v>0.29166666666666663</v>
      </c>
    </row>
    <row r="7" spans="1:7" ht="30" customHeight="1" x14ac:dyDescent="0.15">
      <c r="B7" t="s">
        <v>64</v>
      </c>
      <c r="C7" t="s">
        <v>87</v>
      </c>
      <c r="D7" s="9" t="s">
        <v>106</v>
      </c>
      <c r="E7" s="18">
        <v>0.3125</v>
      </c>
      <c r="F7" s="18">
        <v>0.6875</v>
      </c>
      <c r="G7" s="18">
        <f>(Musim_gugur[[#This Row],[Jam Selesai]]-Musim_gugur[[#This Row],[Jam Mulai]])</f>
        <v>0.375</v>
      </c>
    </row>
    <row r="8" spans="1:7" ht="30" customHeight="1" x14ac:dyDescent="0.15">
      <c r="B8" t="s">
        <v>65</v>
      </c>
      <c r="C8" t="s">
        <v>88</v>
      </c>
      <c r="D8" s="4" t="s">
        <v>93</v>
      </c>
      <c r="E8" s="18">
        <v>0.3125</v>
      </c>
      <c r="F8" s="18">
        <v>0.6875</v>
      </c>
      <c r="G8" s="18">
        <f>(Musim_gugur[[#This Row],[Jam Selesai]]-Musim_gugur[[#This Row],[Jam Mulai]])</f>
        <v>0.375</v>
      </c>
    </row>
    <row r="9" spans="1:7" ht="30" customHeight="1" x14ac:dyDescent="0.15">
      <c r="B9" t="s">
        <v>66</v>
      </c>
      <c r="C9" s="7" t="s">
        <v>88</v>
      </c>
      <c r="D9" s="7" t="s">
        <v>93</v>
      </c>
      <c r="E9" s="18">
        <v>0.3125</v>
      </c>
      <c r="F9" s="18">
        <v>0.6875</v>
      </c>
      <c r="G9" s="15">
        <f>(Musim_gugur[[#This Row],[Jam Selesai]]-Musim_gugur[[#This Row],[Jam Mulai]])</f>
        <v>0.375</v>
      </c>
    </row>
    <row r="10" spans="1:7" ht="30" customHeight="1" x14ac:dyDescent="0.15">
      <c r="B10" t="s">
        <v>67</v>
      </c>
      <c r="C10" t="s">
        <v>87</v>
      </c>
      <c r="D10" s="9" t="s">
        <v>119</v>
      </c>
      <c r="E10" s="18">
        <v>0.3125</v>
      </c>
      <c r="F10" s="18">
        <v>0.6875</v>
      </c>
      <c r="G10" s="15">
        <f>(Musim_gugur[[#This Row],[Jam Selesai]]-Musim_gugur[[#This Row],[Jam Mulai]])</f>
        <v>0.375</v>
      </c>
    </row>
    <row r="11" spans="1:7" ht="30" customHeight="1" x14ac:dyDescent="0.15">
      <c r="B11" t="s">
        <v>68</v>
      </c>
      <c r="C11" t="s">
        <v>88</v>
      </c>
      <c r="D11" s="9" t="s">
        <v>120</v>
      </c>
      <c r="E11" s="18">
        <v>0.3125</v>
      </c>
      <c r="F11" s="16">
        <v>0.60416666666666663</v>
      </c>
      <c r="G11" s="15">
        <f>(Musim_gugur[[#This Row],[Jam Selesai]]-Musim_gugur[[#This Row],[Jam Mulai]])</f>
        <v>0.29166666666666663</v>
      </c>
    </row>
    <row r="12" spans="1:7" ht="30" customHeight="1" x14ac:dyDescent="0.15">
      <c r="B12" t="s">
        <v>69</v>
      </c>
      <c r="C12" t="s">
        <v>88</v>
      </c>
      <c r="D12" t="s">
        <v>94</v>
      </c>
      <c r="E12" s="18">
        <v>0.3125</v>
      </c>
      <c r="F12" s="18">
        <v>0.6875</v>
      </c>
      <c r="G12" s="15">
        <f>(Musim_gugur[[#This Row],[Jam Selesai]]-Musim_gugur[[#This Row],[Jam Mulai]])</f>
        <v>0.375</v>
      </c>
    </row>
    <row r="13" spans="1:7" ht="30" customHeight="1" x14ac:dyDescent="0.15">
      <c r="B13" t="s">
        <v>70</v>
      </c>
      <c r="C13" t="s">
        <v>87</v>
      </c>
      <c r="D13" t="s">
        <v>107</v>
      </c>
      <c r="E13" s="18">
        <v>0.3125</v>
      </c>
      <c r="F13" s="18">
        <v>0.6875</v>
      </c>
      <c r="G13" s="15">
        <f>(Musim_gugur[[#This Row],[Jam Selesai]]-Musim_gugur[[#This Row],[Jam Mulai]])</f>
        <v>0.375</v>
      </c>
    </row>
    <row r="14" spans="1:7" ht="30" customHeight="1" x14ac:dyDescent="0.15">
      <c r="B14" t="s">
        <v>71</v>
      </c>
      <c r="C14" t="s">
        <v>88</v>
      </c>
      <c r="D14" t="s">
        <v>108</v>
      </c>
      <c r="E14" s="18">
        <v>0.3125</v>
      </c>
      <c r="F14" s="18">
        <v>0.6875</v>
      </c>
      <c r="G14" s="15">
        <f>(Musim_gugur[[#This Row],[Jam Selesai]]-Musim_gugur[[#This Row],[Jam Mulai]])</f>
        <v>0.375</v>
      </c>
    </row>
    <row r="15" spans="1:7" ht="30" customHeight="1" x14ac:dyDescent="0.15">
      <c r="B15" t="s">
        <v>72</v>
      </c>
      <c r="C15" t="s">
        <v>88</v>
      </c>
      <c r="D15" s="9" t="s">
        <v>121</v>
      </c>
      <c r="E15" s="18">
        <v>0.3125</v>
      </c>
      <c r="F15" s="18">
        <v>0.6875</v>
      </c>
      <c r="G15" s="15">
        <f>(Musim_gugur[[#This Row],[Jam Selesai]]-Musim_gugur[[#This Row],[Jam Mulai]])</f>
        <v>0.375</v>
      </c>
    </row>
    <row r="16" spans="1:7" ht="30" customHeight="1" x14ac:dyDescent="0.15">
      <c r="B16" t="s">
        <v>73</v>
      </c>
      <c r="C16" t="s">
        <v>87</v>
      </c>
      <c r="D16" s="9" t="s">
        <v>122</v>
      </c>
      <c r="E16" s="18">
        <v>0.3125</v>
      </c>
      <c r="F16" s="16">
        <v>0.60416666666666663</v>
      </c>
      <c r="G16" s="15">
        <f>(Musim_gugur[[#This Row],[Jam Selesai]]-Musim_gugur[[#This Row],[Jam Mulai]])</f>
        <v>0.29166666666666663</v>
      </c>
    </row>
    <row r="17" spans="2:7" ht="30" customHeight="1" x14ac:dyDescent="0.15">
      <c r="B17" t="s">
        <v>76</v>
      </c>
      <c r="C17" t="s">
        <v>88</v>
      </c>
      <c r="D17" s="9" t="s">
        <v>123</v>
      </c>
      <c r="E17" s="18">
        <v>0.3125</v>
      </c>
      <c r="F17" s="18">
        <v>0.6875</v>
      </c>
      <c r="G17" s="15">
        <f>(Musim_gugur[[#This Row],[Jam Selesai]]-Musim_gugur[[#This Row],[Jam Mulai]])</f>
        <v>0.375</v>
      </c>
    </row>
    <row r="18" spans="2:7" ht="30" customHeight="1" x14ac:dyDescent="0.15">
      <c r="B18" t="s">
        <v>77</v>
      </c>
      <c r="C18" t="s">
        <v>88</v>
      </c>
      <c r="D18" s="9" t="s">
        <v>124</v>
      </c>
      <c r="E18" s="18">
        <v>0.3125</v>
      </c>
      <c r="F18" s="18">
        <v>0.6875</v>
      </c>
      <c r="G18" s="15">
        <f>(Musim_gugur[[#This Row],[Jam Selesai]]-Musim_gugur[[#This Row],[Jam Mulai]])</f>
        <v>0.375</v>
      </c>
    </row>
    <row r="19" spans="2:7" ht="30" customHeight="1" x14ac:dyDescent="0.15">
      <c r="B19" t="s">
        <v>78</v>
      </c>
      <c r="C19" t="s">
        <v>89</v>
      </c>
      <c r="D19" t="s">
        <v>98</v>
      </c>
      <c r="E19" s="18">
        <v>0.35416666666666702</v>
      </c>
      <c r="F19" s="18">
        <v>0.72916666666666663</v>
      </c>
      <c r="G19" s="15">
        <f>(Musim_gugur[[#This Row],[Jam Selesai]]-Musim_gugur[[#This Row],[Jam Mulai]])</f>
        <v>0.37499999999999961</v>
      </c>
    </row>
    <row r="20" spans="2:7" ht="30" customHeight="1" x14ac:dyDescent="0.15">
      <c r="B20" t="s">
        <v>74</v>
      </c>
      <c r="C20" t="s">
        <v>87</v>
      </c>
      <c r="D20" s="9" t="s">
        <v>125</v>
      </c>
      <c r="E20" s="18">
        <v>0.3125</v>
      </c>
      <c r="F20" s="18">
        <v>0.6875</v>
      </c>
      <c r="G20" s="15">
        <f>(Musim_gugur[[#This Row],[Jam Selesai]]-Musim_gugur[[#This Row],[Jam Mulai]])</f>
        <v>0.375</v>
      </c>
    </row>
    <row r="21" spans="2:7" ht="30" customHeight="1" x14ac:dyDescent="0.15">
      <c r="B21" t="s">
        <v>79</v>
      </c>
      <c r="C21" t="s">
        <v>52</v>
      </c>
      <c r="D21" t="s">
        <v>97</v>
      </c>
      <c r="E21" s="18">
        <v>0.33333333333333331</v>
      </c>
      <c r="F21" s="18">
        <v>0.54166666666666663</v>
      </c>
      <c r="G21" s="15">
        <f>(Musim_gugur[[#This Row],[Jam Selesai]]-Musim_gugur[[#This Row],[Jam Mulai]])</f>
        <v>0.20833333333333331</v>
      </c>
    </row>
    <row r="22" spans="2:7" ht="30" customHeight="1" x14ac:dyDescent="0.15">
      <c r="B22" t="s">
        <v>80</v>
      </c>
      <c r="C22" t="s">
        <v>88</v>
      </c>
      <c r="D22" t="s">
        <v>96</v>
      </c>
      <c r="E22" s="18">
        <v>0.3125</v>
      </c>
      <c r="F22" s="18">
        <v>0.6875</v>
      </c>
      <c r="G22" s="15">
        <f>(Musim_gugur[[#This Row],[Jam Selesai]]-Musim_gugur[[#This Row],[Jam Mulai]])</f>
        <v>0.375</v>
      </c>
    </row>
    <row r="23" spans="2:7" ht="30" customHeight="1" x14ac:dyDescent="0.15">
      <c r="B23" t="s">
        <v>81</v>
      </c>
      <c r="C23" t="s">
        <v>89</v>
      </c>
      <c r="E23" s="19"/>
      <c r="F23" s="19"/>
      <c r="G23" s="15">
        <f>(Musim_gugur[[#This Row],[Jam Selesai]]-Musim_gugur[[#This Row],[Jam Mulai]])</f>
        <v>0</v>
      </c>
    </row>
    <row r="24" spans="2:7" ht="30" customHeight="1" x14ac:dyDescent="0.15">
      <c r="B24" t="s">
        <v>82</v>
      </c>
      <c r="E24" s="19"/>
      <c r="F24" s="19"/>
      <c r="G24" s="15">
        <f>(Musim_gugur[[#This Row],[Jam Selesai]]-Musim_gugur[[#This Row],[Jam Mulai]])</f>
        <v>0</v>
      </c>
    </row>
    <row r="25" spans="2:7" ht="30" customHeight="1" x14ac:dyDescent="0.15">
      <c r="B25" t="s">
        <v>75</v>
      </c>
      <c r="E25" s="19"/>
      <c r="F25" s="19"/>
      <c r="G25" s="15">
        <f>(Musim_gugur[[#This Row],[Jam Selesai]]-Musim_gugur[[#This Row],[Jam Mulai]])</f>
        <v>0</v>
      </c>
    </row>
    <row r="26" spans="2:7" ht="30" customHeight="1" x14ac:dyDescent="0.15">
      <c r="B26" t="s">
        <v>83</v>
      </c>
      <c r="E26" s="19"/>
      <c r="F26" s="19"/>
      <c r="G26" s="15">
        <f>(Musim_gugur[[#This Row],[Jam Selesai]]-Musim_gugur[[#This Row],[Jam Mulai]])</f>
        <v>0</v>
      </c>
    </row>
  </sheetData>
  <mergeCells count="3">
    <mergeCell ref="E2:G2"/>
    <mergeCell ref="B2:D2"/>
    <mergeCell ref="B1:G1"/>
  </mergeCells>
  <phoneticPr fontId="24" alignment="center"/>
  <dataValidations count="4">
    <dataValidation allowBlank="1" showInputMessage="1" showErrorMessage="1" prompt="Buat daftar tugas untuk Musim Gugur dalam lembar kerja ini" sqref="A2" xr:uid="{00000000-0002-0000-0100-000001000000}"/>
    <dataValidation allowBlank="1" showInputMessage="1" showErrorMessage="1" prompt="Judul lembar kerja berada dalam sel ini. Masukkan detail dalam tabel di bawah ini dan Tanggal terakhir dilakukan dalam sel di sebelah kanan" sqref="B2:D2" xr:uid="{00000000-0002-0000-0100-000002000000}"/>
    <dataValidation allowBlank="1" showInputMessage="1" showErrorMessage="1" prompt="Masukkan Tanggal terakhir dilakukan dalam sel ini" sqref="E2:G2" xr:uid="{00000000-0002-0000-0100-000003000000}"/>
    <dataValidation allowBlank="1" showInputMessage="1" showErrorMessage="1" prompt="Judul lembar kerja berada dalam sel ini" sqref="B1" xr:uid="{D17DD360-9FC9-FA41-B3A6-0CD1F4017B8C}"/>
  </dataValidations>
  <printOptions horizontalCentered="1"/>
  <pageMargins left="0.4" right="0.4" top="0.4" bottom="0.6" header="0.3" footer="0.3"/>
  <pageSetup paperSize="9" fitToHeight="0" orientation="portrait" verticalDpi="360" r:id="rId1"/>
  <headerFooter differentFirst="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C3A7-68B6-714D-9F6C-62804FDC867B}">
  <sheetPr codeName="Sheet3">
    <tabColor theme="9" tint="-0.249977111117893"/>
    <pageSetUpPr autoPageBreaks="0" fitToPage="1"/>
  </sheetPr>
  <dimension ref="B1:G26"/>
  <sheetViews>
    <sheetView showGridLines="0" workbookViewId="0">
      <selection activeCell="B1" sqref="B1:G1"/>
    </sheetView>
  </sheetViews>
  <sheetFormatPr defaultRowHeight="30" customHeight="1" x14ac:dyDescent="0.15"/>
  <cols>
    <col min="1" max="1" width="2.59765625" customWidth="1"/>
    <col min="2" max="3" width="27.171875" customWidth="1"/>
    <col min="4" max="4" width="115.58203125" customWidth="1"/>
    <col min="5" max="6" width="11.5703125" customWidth="1"/>
    <col min="7" max="7" width="14.0390625" customWidth="1"/>
    <col min="8" max="8" width="2.59765625" customWidth="1"/>
  </cols>
  <sheetData>
    <row r="1" spans="2:7" s="20" customFormat="1" ht="50.25" customHeight="1" thickBot="1" x14ac:dyDescent="0.4">
      <c r="B1" s="45" t="s">
        <v>54</v>
      </c>
      <c r="C1" s="45"/>
      <c r="D1" s="45"/>
      <c r="E1" s="45"/>
      <c r="F1" s="45"/>
      <c r="G1" s="45"/>
    </row>
    <row r="2" spans="2:7" ht="39.75" customHeight="1" thickTop="1" x14ac:dyDescent="0.25">
      <c r="B2" s="44" t="s">
        <v>85</v>
      </c>
      <c r="C2" s="44"/>
      <c r="D2" s="44"/>
      <c r="E2" s="43"/>
      <c r="F2" s="43"/>
      <c r="G2" s="43"/>
    </row>
    <row r="3" spans="2:7" s="12" customFormat="1" ht="30" customHeight="1" x14ac:dyDescent="0.15">
      <c r="B3" s="29" t="s">
        <v>27</v>
      </c>
      <c r="C3" s="24" t="s">
        <v>50</v>
      </c>
      <c r="D3" s="24" t="s">
        <v>60</v>
      </c>
      <c r="E3" s="24" t="s">
        <v>58</v>
      </c>
      <c r="F3" s="24" t="s">
        <v>57</v>
      </c>
      <c r="G3" s="30" t="s">
        <v>59</v>
      </c>
    </row>
    <row r="4" spans="2:7" ht="30" customHeight="1" x14ac:dyDescent="0.15">
      <c r="B4" s="33" t="s">
        <v>61</v>
      </c>
      <c r="C4" s="34"/>
      <c r="D4" s="35" t="s">
        <v>10</v>
      </c>
      <c r="E4" s="36">
        <v>0.3125</v>
      </c>
      <c r="F4" s="36">
        <v>0.6875</v>
      </c>
      <c r="G4" s="37">
        <f>(Musim_gugur2[[#This Row],[Jam Selesai]]-Musim_gugur2[[#This Row],[Jam Mulai]])</f>
        <v>0.375</v>
      </c>
    </row>
    <row r="5" spans="2:7" ht="30" customHeight="1" x14ac:dyDescent="0.15">
      <c r="B5" s="21" t="s">
        <v>62</v>
      </c>
      <c r="C5" s="25"/>
      <c r="D5" s="4" t="s">
        <v>11</v>
      </c>
      <c r="E5" s="3"/>
      <c r="F5" s="3"/>
      <c r="G5" s="31">
        <f>(Musim_gugur2[[#This Row],[Jam Selesai]]-Musim_gugur2[[#This Row],[Jam Mulai]])</f>
        <v>0</v>
      </c>
    </row>
    <row r="6" spans="2:7" ht="30" customHeight="1" x14ac:dyDescent="0.15">
      <c r="B6" s="33" t="s">
        <v>63</v>
      </c>
      <c r="C6" s="34"/>
      <c r="D6" s="23" t="s">
        <v>12</v>
      </c>
      <c r="E6" s="38"/>
      <c r="F6" s="38"/>
      <c r="G6" s="37">
        <f>(Musim_gugur2[[#This Row],[Jam Selesai]]-Musim_gugur2[[#This Row],[Jam Mulai]])</f>
        <v>0</v>
      </c>
    </row>
    <row r="7" spans="2:7" ht="30" customHeight="1" x14ac:dyDescent="0.15">
      <c r="B7" s="21" t="s">
        <v>64</v>
      </c>
      <c r="C7" s="25"/>
      <c r="D7" s="22" t="s">
        <v>13</v>
      </c>
      <c r="E7" s="3"/>
      <c r="F7" s="3"/>
      <c r="G7" s="31">
        <f>(Musim_gugur2[[#This Row],[Jam Selesai]]-Musim_gugur2[[#This Row],[Jam Mulai]])</f>
        <v>0</v>
      </c>
    </row>
    <row r="8" spans="2:7" ht="30" customHeight="1" x14ac:dyDescent="0.15">
      <c r="B8" s="33" t="s">
        <v>65</v>
      </c>
      <c r="C8" s="34"/>
      <c r="D8" s="35" t="s">
        <v>11</v>
      </c>
      <c r="E8" s="38"/>
      <c r="F8" s="38"/>
      <c r="G8" s="37">
        <f>(Musim_gugur2[[#This Row],[Jam Selesai]]-Musim_gugur2[[#This Row],[Jam Mulai]])</f>
        <v>0</v>
      </c>
    </row>
    <row r="9" spans="2:7" ht="30" customHeight="1" x14ac:dyDescent="0.15">
      <c r="B9" s="21" t="s">
        <v>66</v>
      </c>
      <c r="C9" s="26"/>
      <c r="D9" s="26"/>
      <c r="E9" s="27"/>
      <c r="F9" s="27"/>
      <c r="G9" s="32">
        <f>(Musim_gugur2[[#This Row],[Jam Selesai]]-Musim_gugur2[[#This Row],[Jam Mulai]])</f>
        <v>0</v>
      </c>
    </row>
    <row r="10" spans="2:7" ht="30" customHeight="1" x14ac:dyDescent="0.15">
      <c r="B10" s="33" t="s">
        <v>67</v>
      </c>
      <c r="C10" s="34"/>
      <c r="D10" s="34"/>
      <c r="E10" s="39"/>
      <c r="F10" s="39"/>
      <c r="G10" s="40">
        <f>(Musim_gugur2[[#This Row],[Jam Selesai]]-Musim_gugur2[[#This Row],[Jam Mulai]])</f>
        <v>0</v>
      </c>
    </row>
    <row r="11" spans="2:7" ht="30" customHeight="1" x14ac:dyDescent="0.15">
      <c r="B11" s="21" t="s">
        <v>68</v>
      </c>
      <c r="C11" s="25"/>
      <c r="D11" s="25"/>
      <c r="E11" s="28"/>
      <c r="F11" s="28"/>
      <c r="G11" s="32">
        <f>(Musim_gugur2[[#This Row],[Jam Selesai]]-Musim_gugur2[[#This Row],[Jam Mulai]])</f>
        <v>0</v>
      </c>
    </row>
    <row r="12" spans="2:7" ht="30" customHeight="1" x14ac:dyDescent="0.15">
      <c r="B12" s="33" t="s">
        <v>69</v>
      </c>
      <c r="C12" s="34"/>
      <c r="D12" s="34"/>
      <c r="E12" s="39"/>
      <c r="F12" s="39"/>
      <c r="G12" s="40">
        <f>(Musim_gugur2[[#This Row],[Jam Selesai]]-Musim_gugur2[[#This Row],[Jam Mulai]])</f>
        <v>0</v>
      </c>
    </row>
    <row r="13" spans="2:7" ht="30" customHeight="1" x14ac:dyDescent="0.15">
      <c r="B13" s="21" t="s">
        <v>70</v>
      </c>
      <c r="C13" s="25"/>
      <c r="D13" s="25"/>
      <c r="E13" s="28"/>
      <c r="F13" s="28"/>
      <c r="G13" s="32">
        <f>(Musim_gugur2[[#This Row],[Jam Selesai]]-Musim_gugur2[[#This Row],[Jam Mulai]])</f>
        <v>0</v>
      </c>
    </row>
    <row r="14" spans="2:7" ht="30" customHeight="1" x14ac:dyDescent="0.15">
      <c r="B14" s="33" t="s">
        <v>71</v>
      </c>
      <c r="C14" s="34"/>
      <c r="D14" s="34"/>
      <c r="E14" s="39"/>
      <c r="F14" s="39"/>
      <c r="G14" s="40">
        <f>(Musim_gugur2[[#This Row],[Jam Selesai]]-Musim_gugur2[[#This Row],[Jam Mulai]])</f>
        <v>0</v>
      </c>
    </row>
    <row r="15" spans="2:7" ht="30" customHeight="1" x14ac:dyDescent="0.15">
      <c r="B15" s="21" t="s">
        <v>72</v>
      </c>
      <c r="C15" s="25"/>
      <c r="D15" s="25"/>
      <c r="E15" s="28"/>
      <c r="F15" s="28"/>
      <c r="G15" s="32">
        <f>(Musim_gugur2[[#This Row],[Jam Selesai]]-Musim_gugur2[[#This Row],[Jam Mulai]])</f>
        <v>0</v>
      </c>
    </row>
    <row r="16" spans="2:7" ht="30" customHeight="1" x14ac:dyDescent="0.15">
      <c r="B16" s="33" t="s">
        <v>73</v>
      </c>
      <c r="C16" s="34"/>
      <c r="D16" s="34"/>
      <c r="E16" s="39"/>
      <c r="F16" s="39"/>
      <c r="G16" s="40">
        <f>(Musim_gugur2[[#This Row],[Jam Selesai]]-Musim_gugur2[[#This Row],[Jam Mulai]])</f>
        <v>0</v>
      </c>
    </row>
    <row r="17" spans="2:7" ht="30" customHeight="1" x14ac:dyDescent="0.15">
      <c r="B17" s="21" t="s">
        <v>76</v>
      </c>
      <c r="C17" s="25"/>
      <c r="D17" s="25"/>
      <c r="E17" s="28"/>
      <c r="F17" s="28"/>
      <c r="G17" s="32">
        <f>(Musim_gugur2[[#This Row],[Jam Selesai]]-Musim_gugur2[[#This Row],[Jam Mulai]])</f>
        <v>0</v>
      </c>
    </row>
    <row r="18" spans="2:7" ht="30" customHeight="1" x14ac:dyDescent="0.15">
      <c r="B18" s="33" t="s">
        <v>77</v>
      </c>
      <c r="C18" s="34"/>
      <c r="D18" s="34"/>
      <c r="E18" s="39"/>
      <c r="F18" s="39"/>
      <c r="G18" s="40">
        <f>(Musim_gugur2[[#This Row],[Jam Selesai]]-Musim_gugur2[[#This Row],[Jam Mulai]])</f>
        <v>0</v>
      </c>
    </row>
    <row r="19" spans="2:7" ht="30" customHeight="1" x14ac:dyDescent="0.15">
      <c r="B19" s="21" t="s">
        <v>78</v>
      </c>
      <c r="C19" s="25"/>
      <c r="D19" s="25"/>
      <c r="E19" s="28"/>
      <c r="F19" s="28"/>
      <c r="G19" s="32">
        <f>(Musim_gugur2[[#This Row],[Jam Selesai]]-Musim_gugur2[[#This Row],[Jam Mulai]])</f>
        <v>0</v>
      </c>
    </row>
    <row r="20" spans="2:7" ht="30" customHeight="1" x14ac:dyDescent="0.15">
      <c r="B20" s="33" t="s">
        <v>74</v>
      </c>
      <c r="C20" s="34"/>
      <c r="D20" s="34"/>
      <c r="E20" s="39"/>
      <c r="F20" s="39"/>
      <c r="G20" s="40">
        <f>(Musim_gugur2[[#This Row],[Jam Selesai]]-Musim_gugur2[[#This Row],[Jam Mulai]])</f>
        <v>0</v>
      </c>
    </row>
    <row r="21" spans="2:7" ht="30" customHeight="1" x14ac:dyDescent="0.15">
      <c r="B21" s="21" t="s">
        <v>79</v>
      </c>
      <c r="C21" s="25"/>
      <c r="D21" s="25"/>
      <c r="E21" s="28"/>
      <c r="F21" s="28"/>
      <c r="G21" s="32">
        <f>(Musim_gugur2[[#This Row],[Jam Selesai]]-Musim_gugur2[[#This Row],[Jam Mulai]])</f>
        <v>0</v>
      </c>
    </row>
    <row r="22" spans="2:7" ht="30" customHeight="1" x14ac:dyDescent="0.15">
      <c r="B22" s="33" t="s">
        <v>80</v>
      </c>
      <c r="C22" s="34"/>
      <c r="D22" s="34"/>
      <c r="E22" s="39"/>
      <c r="F22" s="39"/>
      <c r="G22" s="40">
        <f>(Musim_gugur2[[#This Row],[Jam Selesai]]-Musim_gugur2[[#This Row],[Jam Mulai]])</f>
        <v>0</v>
      </c>
    </row>
    <row r="23" spans="2:7" ht="30" customHeight="1" x14ac:dyDescent="0.15">
      <c r="B23" s="21" t="s">
        <v>81</v>
      </c>
      <c r="C23" s="25"/>
      <c r="D23" s="25"/>
      <c r="E23" s="28"/>
      <c r="F23" s="28"/>
      <c r="G23" s="32">
        <f>(Musim_gugur2[[#This Row],[Jam Selesai]]-Musim_gugur2[[#This Row],[Jam Mulai]])</f>
        <v>0</v>
      </c>
    </row>
    <row r="24" spans="2:7" ht="30" customHeight="1" x14ac:dyDescent="0.15">
      <c r="B24" s="33" t="s">
        <v>82</v>
      </c>
      <c r="C24" s="34"/>
      <c r="D24" s="34"/>
      <c r="E24" s="39"/>
      <c r="F24" s="39"/>
      <c r="G24" s="40">
        <f>(Musim_gugur2[[#This Row],[Jam Selesai]]-Musim_gugur2[[#This Row],[Jam Mulai]])</f>
        <v>0</v>
      </c>
    </row>
    <row r="25" spans="2:7" ht="30" customHeight="1" x14ac:dyDescent="0.15">
      <c r="B25" s="21" t="s">
        <v>75</v>
      </c>
      <c r="C25" s="25"/>
      <c r="D25" s="25"/>
      <c r="E25" s="28"/>
      <c r="F25" s="28"/>
      <c r="G25" s="32">
        <f>(Musim_gugur2[[#This Row],[Jam Selesai]]-Musim_gugur2[[#This Row],[Jam Mulai]])</f>
        <v>0</v>
      </c>
    </row>
    <row r="26" spans="2:7" ht="30" customHeight="1" x14ac:dyDescent="0.15">
      <c r="B26" s="33" t="s">
        <v>83</v>
      </c>
      <c r="C26" s="34"/>
      <c r="D26" s="34"/>
      <c r="E26" s="39"/>
      <c r="F26" s="39"/>
      <c r="G26" s="40">
        <f>(Musim_gugur2[[#This Row],[Jam Selesai]]-Musim_gugur2[[#This Row],[Jam Mulai]])</f>
        <v>0</v>
      </c>
    </row>
  </sheetData>
  <mergeCells count="3">
    <mergeCell ref="B1:G1"/>
    <mergeCell ref="B2:D2"/>
    <mergeCell ref="E2:G2"/>
  </mergeCells>
  <phoneticPr fontId="24" alignment="center"/>
  <dataValidations count="4">
    <dataValidation allowBlank="1" showInputMessage="1" showErrorMessage="1" prompt="Judul lembar kerja berada dalam sel ini" sqref="B1" xr:uid="{CC5F6896-B255-7044-A2BC-B39E33478A22}"/>
    <dataValidation allowBlank="1" showInputMessage="1" showErrorMessage="1" prompt="Masukkan Tanggal terakhir dilakukan dalam sel ini" sqref="E2:G2" xr:uid="{E904932E-AE93-E649-8BDD-355FEB29BE24}"/>
    <dataValidation allowBlank="1" showInputMessage="1" showErrorMessage="1" prompt="Judul lembar kerja berada dalam sel ini. Masukkan detail dalam tabel di bawah ini dan Tanggal terakhir dilakukan dalam sel di sebelah kanan" sqref="B2:D2" xr:uid="{807400DE-8B27-E14A-A2CB-2E9DC631068F}"/>
    <dataValidation allowBlank="1" showInputMessage="1" showErrorMessage="1" prompt="Buat daftar tugas untuk Musim Gugur dalam lembar kerja ini" sqref="A2" xr:uid="{93EF0F7A-E9B8-B740-977D-4EA01E2A72EC}"/>
  </dataValidations>
  <printOptions horizontalCentered="1"/>
  <pageMargins left="0.4" right="0.4" top="0.4" bottom="0.6" header="0.3" footer="0.3"/>
  <pageSetup paperSize="9" fitToHeight="0" orientation="portrait" verticalDpi="360" r:id="rId1"/>
  <headerFooter differentFirst="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7" tint="-0.249977111117893"/>
    <pageSetUpPr autoPageBreaks="0" fitToPage="1"/>
  </sheetPr>
  <dimension ref="B1:G9"/>
  <sheetViews>
    <sheetView showGridLines="0" workbookViewId="0">
      <selection activeCell="D14" sqref="D14"/>
    </sheetView>
  </sheetViews>
  <sheetFormatPr defaultRowHeight="30" customHeight="1" x14ac:dyDescent="0.15"/>
  <cols>
    <col min="1" max="1" width="2.59765625" customWidth="1"/>
    <col min="2" max="3" width="27.171875" customWidth="1"/>
    <col min="4" max="4" width="115.58203125" customWidth="1"/>
    <col min="5" max="7" width="11.5703125" customWidth="1"/>
    <col min="8" max="8" width="2.59765625" customWidth="1"/>
  </cols>
  <sheetData>
    <row r="1" spans="2:7" ht="56.25" customHeight="1" thickBot="1" x14ac:dyDescent="0.4">
      <c r="B1" s="45" t="s">
        <v>54</v>
      </c>
      <c r="C1" s="45"/>
      <c r="D1" s="45"/>
      <c r="E1" s="45"/>
      <c r="F1" s="45"/>
      <c r="G1" s="45"/>
    </row>
    <row r="2" spans="2:7" ht="39.75" customHeight="1" thickTop="1" x14ac:dyDescent="0.25">
      <c r="B2" s="46" t="s">
        <v>86</v>
      </c>
      <c r="C2" s="46"/>
      <c r="D2" s="46"/>
      <c r="E2" s="43"/>
      <c r="F2" s="43"/>
      <c r="G2" s="43"/>
    </row>
    <row r="3" spans="2:7" ht="30" customHeight="1" x14ac:dyDescent="0.15">
      <c r="B3" s="5" t="s">
        <v>0</v>
      </c>
      <c r="C3" s="5" t="s">
        <v>4</v>
      </c>
      <c r="D3" s="5" t="s">
        <v>5</v>
      </c>
      <c r="E3" s="6" t="s">
        <v>7</v>
      </c>
      <c r="F3" s="6" t="s">
        <v>8</v>
      </c>
      <c r="G3" s="6" t="s">
        <v>9</v>
      </c>
    </row>
    <row r="4" spans="2:7" ht="30" customHeight="1" x14ac:dyDescent="0.15">
      <c r="B4" s="10" t="s">
        <v>1</v>
      </c>
      <c r="C4" s="1" t="s">
        <v>15</v>
      </c>
      <c r="D4" s="1" t="s">
        <v>20</v>
      </c>
      <c r="E4" s="2"/>
      <c r="F4" s="2"/>
      <c r="G4" s="2"/>
    </row>
    <row r="5" spans="2:7" ht="30" customHeight="1" x14ac:dyDescent="0.15">
      <c r="B5" s="10" t="s">
        <v>25</v>
      </c>
      <c r="C5" s="1" t="s">
        <v>16</v>
      </c>
      <c r="D5" s="1" t="s">
        <v>21</v>
      </c>
      <c r="E5" s="2"/>
      <c r="F5" s="2"/>
      <c r="G5" s="2"/>
    </row>
    <row r="6" spans="2:7" ht="30" customHeight="1" x14ac:dyDescent="0.15">
      <c r="B6" s="10" t="s">
        <v>2</v>
      </c>
      <c r="C6" s="1" t="s">
        <v>17</v>
      </c>
      <c r="D6" s="1" t="s">
        <v>22</v>
      </c>
      <c r="E6" s="2"/>
      <c r="F6" s="2"/>
      <c r="G6" s="2"/>
    </row>
    <row r="7" spans="2:7" ht="30" customHeight="1" x14ac:dyDescent="0.15">
      <c r="B7" s="10" t="s">
        <v>1</v>
      </c>
      <c r="C7" s="1" t="s">
        <v>18</v>
      </c>
      <c r="D7" s="1" t="s">
        <v>23</v>
      </c>
      <c r="E7" s="2"/>
      <c r="F7" s="2"/>
      <c r="G7" s="2"/>
    </row>
    <row r="8" spans="2:7" ht="30" customHeight="1" x14ac:dyDescent="0.15">
      <c r="B8" s="10" t="s">
        <v>3</v>
      </c>
      <c r="C8" s="1" t="s">
        <v>19</v>
      </c>
      <c r="D8" s="1" t="s">
        <v>24</v>
      </c>
      <c r="E8" s="2"/>
      <c r="F8" s="2"/>
      <c r="G8" s="2"/>
    </row>
    <row r="9" spans="2:7" ht="30" customHeight="1" x14ac:dyDescent="0.15">
      <c r="B9" s="1"/>
      <c r="C9" s="1"/>
      <c r="D9" s="1"/>
      <c r="E9" s="1"/>
      <c r="F9" s="1"/>
    </row>
  </sheetData>
  <mergeCells count="3">
    <mergeCell ref="E2:G2"/>
    <mergeCell ref="B2:D2"/>
    <mergeCell ref="B1:G1"/>
  </mergeCells>
  <dataValidations count="11">
    <dataValidation type="list" errorStyle="warning" allowBlank="1" showInputMessage="1" showErrorMessage="1" error="Pilih Kategori dari daftar. Pilih BATAL, tekan ALT+PANAH BAWAH untuk menampilkan opsi, lalu PANAH BAWAH dan ENTER untuk memilih" sqref="B4:B8" xr:uid="{00000000-0002-0000-0200-000000000000}">
      <formula1>"Pipa, Interior, Listrik dan Peralatan, Eksterior"</formula1>
    </dataValidation>
    <dataValidation allowBlank="1" showInputMessage="1" showErrorMessage="1" prompt="Buat daftar tugas untuk Musim Semi dalam lembar kerja ini" sqref="A2" xr:uid="{00000000-0002-0000-0200-000001000000}"/>
    <dataValidation allowBlank="1" showInputMessage="1" showErrorMessage="1" prompt="Judul lembar kerja berada dalam sel ini. Masukkan detail dalam tabel di bawah ini dan Tanggal terakhir dilakukan dalam sel di sebelah kanan" sqref="B2:D2" xr:uid="{00000000-0002-0000-0200-000002000000}"/>
    <dataValidation allowBlank="1" showInputMessage="1" showErrorMessage="1" prompt="Masukkan Tanggal terakhir dilakukan dalam sel ini" sqref="E2:G2" xr:uid="{00000000-0002-0000-0200-000003000000}"/>
    <dataValidation allowBlank="1" showInputMessage="1" showErrorMessage="1" prompt="Pilih Kategori dalam kolom di bawah judul ini. Tekan ALT+PANAH BAWAH untuk opsi, lalu PANAH BAWAH dan ENTER untuk memilih. Gunakan filter judul untuk menemukan entri tertentu" sqref="B3" xr:uid="{00000000-0002-0000-0200-000004000000}"/>
    <dataValidation allowBlank="1" showInputMessage="1" showErrorMessage="1" prompt="Masukkan Aktivitas dalam kolom di bawah judul ini" sqref="C3" xr:uid="{00000000-0002-0000-0200-000005000000}"/>
    <dataValidation allowBlank="1" showInputMessage="1" showErrorMessage="1" prompt="Masukkan Deskripsi dalam kolom di bawah judul ini" sqref="D3" xr:uid="{00000000-0002-0000-0200-000006000000}"/>
    <dataValidation allowBlank="1" showInputMessage="1" showErrorMessage="1" prompt="Masukkan Tanggal 1 dalam kolom di bawah judul ini" sqref="E3" xr:uid="{00000000-0002-0000-0200-000007000000}"/>
    <dataValidation allowBlank="1" showInputMessage="1" showErrorMessage="1" prompt="Masukkan Tanggal 2 dalam kolom di bawah judul ini" sqref="F3" xr:uid="{00000000-0002-0000-0200-000008000000}"/>
    <dataValidation allowBlank="1" showInputMessage="1" showErrorMessage="1" prompt="Masukkan Tanggal 3 dalam kolom di bawah judul ini" sqref="G3" xr:uid="{00000000-0002-0000-0200-000009000000}"/>
    <dataValidation allowBlank="1" showInputMessage="1" showErrorMessage="1" prompt="Judul lembar kerja berada dalam sel ini" sqref="B1" xr:uid="{929F8B0B-9A81-FE47-BCF7-F58BC4AEE413}"/>
  </dataValidations>
  <printOptions horizontalCentered="1"/>
  <pageMargins left="0.4" right="0.4" top="0.4" bottom="0.6" header="0.3" footer="0.3"/>
  <pageSetup paperSize="9" fitToHeight="0" orientation="portrait" verticalDpi="360" r:id="rId1"/>
  <headerFooter differentFirst="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B7F89-5190-384F-9A0A-E17BA4D6B458}">
  <sheetPr codeName="Sheet4">
    <tabColor theme="8" tint="-0.249977111117893"/>
    <pageSetUpPr autoPageBreaks="0" fitToPage="1"/>
  </sheetPr>
  <dimension ref="B1:G8"/>
  <sheetViews>
    <sheetView showGridLines="0" workbookViewId="0">
      <selection activeCell="C13" sqref="C13"/>
    </sheetView>
  </sheetViews>
  <sheetFormatPr defaultRowHeight="30" customHeight="1" x14ac:dyDescent="0.15"/>
  <cols>
    <col min="1" max="1" width="2.59765625" customWidth="1"/>
    <col min="2" max="3" width="27.171875" customWidth="1"/>
    <col min="4" max="4" width="115.58203125" customWidth="1"/>
    <col min="5" max="7" width="11.5703125" customWidth="1"/>
    <col min="8" max="8" width="2.59765625" customWidth="1"/>
  </cols>
  <sheetData>
    <row r="1" spans="2:7" ht="39.75" customHeight="1" x14ac:dyDescent="0.25">
      <c r="B1" s="46" t="s">
        <v>14</v>
      </c>
      <c r="C1" s="46"/>
      <c r="D1" s="46"/>
      <c r="E1" s="43" t="s">
        <v>6</v>
      </c>
      <c r="F1" s="43"/>
      <c r="G1" s="43"/>
    </row>
    <row r="2" spans="2:7" ht="30" customHeight="1" x14ac:dyDescent="0.15">
      <c r="B2" s="5" t="s">
        <v>0</v>
      </c>
      <c r="C2" s="5" t="s">
        <v>4</v>
      </c>
      <c r="D2" s="5" t="s">
        <v>5</v>
      </c>
      <c r="E2" s="6" t="s">
        <v>7</v>
      </c>
      <c r="F2" s="6" t="s">
        <v>8</v>
      </c>
      <c r="G2" s="6" t="s">
        <v>9</v>
      </c>
    </row>
    <row r="3" spans="2:7" ht="30" customHeight="1" x14ac:dyDescent="0.15">
      <c r="B3" s="10" t="s">
        <v>1</v>
      </c>
      <c r="C3" s="1" t="s">
        <v>15</v>
      </c>
      <c r="D3" s="1" t="s">
        <v>20</v>
      </c>
      <c r="E3" s="2"/>
      <c r="F3" s="2"/>
      <c r="G3" s="2"/>
    </row>
    <row r="4" spans="2:7" ht="30" customHeight="1" x14ac:dyDescent="0.15">
      <c r="B4" s="10" t="s">
        <v>25</v>
      </c>
      <c r="C4" s="1" t="s">
        <v>16</v>
      </c>
      <c r="D4" s="1" t="s">
        <v>21</v>
      </c>
      <c r="E4" s="2"/>
      <c r="F4" s="2"/>
      <c r="G4" s="2"/>
    </row>
    <row r="5" spans="2:7" ht="30" customHeight="1" x14ac:dyDescent="0.15">
      <c r="B5" s="10" t="s">
        <v>2</v>
      </c>
      <c r="C5" s="1" t="s">
        <v>17</v>
      </c>
      <c r="D5" s="1" t="s">
        <v>22</v>
      </c>
      <c r="E5" s="2"/>
      <c r="F5" s="2"/>
      <c r="G5" s="2"/>
    </row>
    <row r="6" spans="2:7" ht="30" customHeight="1" x14ac:dyDescent="0.15">
      <c r="B6" s="10" t="s">
        <v>1</v>
      </c>
      <c r="C6" s="1" t="s">
        <v>18</v>
      </c>
      <c r="D6" s="1" t="s">
        <v>23</v>
      </c>
      <c r="E6" s="2"/>
      <c r="F6" s="2"/>
      <c r="G6" s="2"/>
    </row>
    <row r="7" spans="2:7" ht="30" customHeight="1" x14ac:dyDescent="0.15">
      <c r="B7" s="10" t="s">
        <v>3</v>
      </c>
      <c r="C7" s="1" t="s">
        <v>19</v>
      </c>
      <c r="D7" s="1" t="s">
        <v>24</v>
      </c>
      <c r="E7" s="2"/>
      <c r="F7" s="2"/>
      <c r="G7" s="2"/>
    </row>
    <row r="8" spans="2:7" ht="30" customHeight="1" x14ac:dyDescent="0.15">
      <c r="B8" s="1"/>
      <c r="C8" s="1"/>
      <c r="D8" s="1"/>
      <c r="E8" s="1"/>
      <c r="F8" s="1"/>
    </row>
  </sheetData>
  <mergeCells count="2">
    <mergeCell ref="B1:D1"/>
    <mergeCell ref="E1:G1"/>
  </mergeCells>
  <dataValidations count="10">
    <dataValidation allowBlank="1" showInputMessage="1" showErrorMessage="1" prompt="Masukkan Tanggal 3 dalam kolom di bawah judul ini" sqref="G2" xr:uid="{BF468C8C-C074-6941-90F2-942B02D81983}"/>
    <dataValidation allowBlank="1" showInputMessage="1" showErrorMessage="1" prompt="Masukkan Tanggal 2 dalam kolom di bawah judul ini" sqref="F2" xr:uid="{47B639A7-89BF-5E48-B3D6-21FAE042D504}"/>
    <dataValidation allowBlank="1" showInputMessage="1" showErrorMessage="1" prompt="Masukkan Tanggal 1 dalam kolom di bawah judul ini" sqref="E2" xr:uid="{59C1DFB0-EA02-6C4C-8146-FF1BB07DD633}"/>
    <dataValidation allowBlank="1" showInputMessage="1" showErrorMessage="1" prompt="Masukkan Deskripsi dalam kolom di bawah judul ini" sqref="D2" xr:uid="{6B3B7A1E-83D8-5044-942E-F33597254319}"/>
    <dataValidation allowBlank="1" showInputMessage="1" showErrorMessage="1" prompt="Masukkan Aktivitas dalam kolom di bawah judul ini" sqref="C2" xr:uid="{85387322-0DB8-7B47-80F3-7C8D1F0D0735}"/>
    <dataValidation allowBlank="1" showInputMessage="1" showErrorMessage="1" prompt="Pilih Kategori dalam kolom di bawah judul ini. Tekan ALT+PANAH BAWAH untuk opsi, lalu PANAH BAWAH dan ENTER untuk memilih. Gunakan filter judul untuk menemukan entri tertentu" sqref="B2" xr:uid="{B3F5824F-50AF-D44E-AC7E-11E04164F23A}"/>
    <dataValidation allowBlank="1" showInputMessage="1" showErrorMessage="1" prompt="Masukkan Tanggal terakhir dilakukan dalam sel ini" sqref="E1:G1" xr:uid="{C95E8645-D676-C749-BE3B-2AC9ED63F37C}"/>
    <dataValidation allowBlank="1" showInputMessage="1" showErrorMessage="1" prompt="Judul lembar kerja berada dalam sel ini. Masukkan detail dalam tabel di bawah ini dan Tanggal terakhir dilakukan dalam sel di sebelah kanan" sqref="B1:D1" xr:uid="{D65B3114-773C-294E-BC68-F3FF368EFCA1}"/>
    <dataValidation allowBlank="1" showInputMessage="1" showErrorMessage="1" prompt="Buat daftar tugas untuk Musim Semi dalam lembar kerja ini" sqref="A1" xr:uid="{6DF6B0A4-A4A4-AD4F-92A3-7219D9793090}"/>
    <dataValidation type="list" errorStyle="warning" allowBlank="1" showInputMessage="1" showErrorMessage="1" error="Pilih Kategori dari daftar. Pilih BATAL, tekan ALT+PANAH BAWAH untuk menampilkan opsi, lalu PANAH BAWAH dan ENTER untuk memilih" sqref="B3:B7" xr:uid="{4767EF38-65FD-CC4A-8C48-4F9C00F45425}">
      <formula1>"Pipa, Interior, Listrik dan Peralatan, Eksterior"</formula1>
    </dataValidation>
  </dataValidations>
  <printOptions horizontalCentered="1"/>
  <pageMargins left="0.4" right="0.4" top="0.4" bottom="0.6" header="0.3" footer="0.3"/>
  <pageSetup paperSize="9" fitToHeight="0" orientation="portrait" verticalDpi="360" r:id="rId1"/>
  <headerFooter differentFirst="1"/>
  <tableParts count="1">
    <tablePart r:id="rId2"/>
  </tableParts>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Lembar kerja</vt:lpstr>
      </vt:variant>
      <vt:variant>
        <vt:i4>5</vt:i4>
      </vt:variant>
      <vt:variant>
        <vt:lpstr>Rentang Bernama</vt:lpstr>
      </vt:variant>
      <vt:variant>
        <vt:i4>9</vt:i4>
      </vt:variant>
    </vt:vector>
  </HeadingPairs>
  <TitlesOfParts>
    <vt:vector size="14" baseType="lpstr">
      <vt:lpstr>PER SEPTEMBER</vt:lpstr>
      <vt:lpstr>PER OKTOBER</vt:lpstr>
      <vt:lpstr>PER NOVEMBER</vt:lpstr>
      <vt:lpstr>PER DESEMBER</vt:lpstr>
      <vt:lpstr>PER JANUARI</vt:lpstr>
      <vt:lpstr>PER JANUARI!Judul1</vt:lpstr>
      <vt:lpstr>PER NOVEMBER!Judul1</vt:lpstr>
      <vt:lpstr>Judul1</vt:lpstr>
      <vt:lpstr>PER JANUARI!Judul2</vt:lpstr>
      <vt:lpstr>PER NOVEMBER!Judul2</vt:lpstr>
      <vt:lpstr>Judul2</vt:lpstr>
      <vt:lpstr>PER JANUARI!Judul3</vt:lpstr>
      <vt:lpstr>PER NOVEMBER!Judul3</vt:lpstr>
      <vt:lpstr>Judul3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2018-11-09T08:37:11Z</dcterms:created>
  <dcterms:modified xsi:type="dcterms:W3CDTF">2018-11-09T08:37:11Z</dcterms:modified>
</cp:coreProperties>
</file>